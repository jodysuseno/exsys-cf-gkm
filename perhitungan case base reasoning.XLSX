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C:\Users\jodyk\OneDrive\Documents\Projects\laravel\project\exsys-cf-gkm\"/>
    </mc:Choice>
  </mc:AlternateContent>
  <xr:revisionPtr revIDLastSave="0" documentId="13_ncr:1_{9466472A-878A-4790-B06C-589AF41B5E9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" i="1" l="1"/>
  <c r="M65" i="1"/>
  <c r="M64" i="1"/>
  <c r="M63" i="1"/>
  <c r="M62" i="1"/>
  <c r="L65" i="1"/>
  <c r="N65" i="1" s="1"/>
  <c r="L64" i="1"/>
  <c r="N64" i="1" s="1"/>
  <c r="L63" i="1"/>
  <c r="N63" i="1" s="1"/>
  <c r="L62" i="1"/>
  <c r="N62" i="1" s="1"/>
</calcChain>
</file>

<file path=xl/sharedStrings.xml><?xml version="1.0" encoding="utf-8"?>
<sst xmlns="http://schemas.openxmlformats.org/spreadsheetml/2006/main" count="198" uniqueCount="96">
  <si>
    <t>Tabel gejala</t>
  </si>
  <si>
    <t>id</t>
  </si>
  <si>
    <t>kode</t>
  </si>
  <si>
    <t>nama</t>
  </si>
  <si>
    <t>Tabel bobot gejala</t>
  </si>
  <si>
    <t>bobot</t>
  </si>
  <si>
    <t>Tabel kompleksitas</t>
  </si>
  <si>
    <t xml:space="preserve">nama </t>
  </si>
  <si>
    <t>Tabel penyakit</t>
  </si>
  <si>
    <t>definisi</t>
  </si>
  <si>
    <t>solusi</t>
  </si>
  <si>
    <t>Tabel pasien</t>
  </si>
  <si>
    <t>nomor kartu identitas</t>
  </si>
  <si>
    <t>umur</t>
  </si>
  <si>
    <t>phone</t>
  </si>
  <si>
    <t>G0001</t>
  </si>
  <si>
    <t>G0002</t>
  </si>
  <si>
    <t>G0003</t>
  </si>
  <si>
    <t>G0004</t>
  </si>
  <si>
    <t>G0005</t>
  </si>
  <si>
    <t>G0006</t>
  </si>
  <si>
    <t>G0007</t>
  </si>
  <si>
    <t>G0008</t>
  </si>
  <si>
    <t>G0009</t>
  </si>
  <si>
    <t>G0010</t>
  </si>
  <si>
    <t>G0011</t>
  </si>
  <si>
    <t>G0012</t>
  </si>
  <si>
    <t>G0013</t>
  </si>
  <si>
    <t>G0014</t>
  </si>
  <si>
    <t>G0015</t>
  </si>
  <si>
    <t>G0016</t>
  </si>
  <si>
    <t>G0017</t>
  </si>
  <si>
    <t>G0018</t>
  </si>
  <si>
    <t>G0019</t>
  </si>
  <si>
    <t>G0020</t>
  </si>
  <si>
    <t>Sering merasakan sakit kepala</t>
  </si>
  <si>
    <t>Sulit untuk tidur</t>
  </si>
  <si>
    <t>Mudah merasa takut</t>
  </si>
  <si>
    <t>Merasa tegang, cemas dan khawatir</t>
  </si>
  <si>
    <t>Tangan sering bergemetar</t>
  </si>
  <si>
    <t>Pencernaan terganggu atau merasa lebih buruk</t>
  </si>
  <si>
    <t>Sulit untuk berpikir jernih</t>
  </si>
  <si>
    <t>Merasa tidak Bahagia</t>
  </si>
  <si>
    <t>Menangis lebih sering</t>
  </si>
  <si>
    <t>Merasa sulit untuk menikmati sehari-hari</t>
  </si>
  <si>
    <t>Sulit untuk mengambil keputusan</t>
  </si>
  <si>
    <t>Pekerjaan sehari-hari merasa terganggu</t>
  </si>
  <si>
    <t>Tidak mampu melakukan hal yang bermanfaat dalam hidup</t>
  </si>
  <si>
    <t>Kehilangan minat pada berbagai hal</t>
  </si>
  <si>
    <t>Merasa tidak berharga</t>
  </si>
  <si>
    <t>Mempunyai pikiran untuk mengakhiri hidup</t>
  </si>
  <si>
    <t>Merasa lelah sepanjang waktu</t>
  </si>
  <si>
    <t>Mengalami rasa tidak enak perut</t>
  </si>
  <si>
    <t>Terlalu banyak makan atau kurang nafsu makan</t>
  </si>
  <si>
    <t>Bergerak atau berbicara sangat lambat sehingga orang lain memperhatikannya</t>
  </si>
  <si>
    <t>Gejala Biasa</t>
  </si>
  <si>
    <t>Gejala Sedang</t>
  </si>
  <si>
    <t>Gejala Dominan</t>
  </si>
  <si>
    <t>Riwayat Penyakit Kronis</t>
  </si>
  <si>
    <t>Riwayat Keluarga Gangguan Kejiwaan</t>
  </si>
  <si>
    <t>Riwayat Gangguan Kejiwaan Sebelumnya</t>
  </si>
  <si>
    <t>P0001</t>
  </si>
  <si>
    <t>P0002</t>
  </si>
  <si>
    <t>P0003</t>
  </si>
  <si>
    <t>P0004</t>
  </si>
  <si>
    <t>Gangguan Depresi</t>
  </si>
  <si>
    <t>Gangguan Kecemasan</t>
  </si>
  <si>
    <t>Gangguan Somatoform</t>
  </si>
  <si>
    <t>Gangguan Neurotik</t>
  </si>
  <si>
    <t>definisi penyakit</t>
  </si>
  <si>
    <t>solusi penyakit</t>
  </si>
  <si>
    <t>3514100102030001</t>
  </si>
  <si>
    <t>3514100102030002</t>
  </si>
  <si>
    <t>3514100102030003</t>
  </si>
  <si>
    <t>3514100102030004</t>
  </si>
  <si>
    <t>lala</t>
  </si>
  <si>
    <t>adi</t>
  </si>
  <si>
    <t>amir</t>
  </si>
  <si>
    <t>budi</t>
  </si>
  <si>
    <t>081234876098</t>
  </si>
  <si>
    <t>Kasus</t>
  </si>
  <si>
    <t>kasus</t>
  </si>
  <si>
    <t>pasien</t>
  </si>
  <si>
    <t>gejala dan kompleksitas</t>
  </si>
  <si>
    <t>bbt</t>
  </si>
  <si>
    <t>id gjl &amp; kplk</t>
  </si>
  <si>
    <t>Perhitungan</t>
  </si>
  <si>
    <t>SW</t>
  </si>
  <si>
    <t>W</t>
  </si>
  <si>
    <t>hasil</t>
  </si>
  <si>
    <t>Penyakit</t>
  </si>
  <si>
    <t>Gejala dan kompleksitas</t>
  </si>
  <si>
    <t>id gjl $ kplk</t>
  </si>
  <si>
    <t>bobot yg sama</t>
  </si>
  <si>
    <t>contoh konsultasi</t>
  </si>
  <si>
    <t>Hasil diagnosa didapatkan dengan 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</si>
</sst>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9847407452621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0" fillId="0" borderId="15" xfId="0" applyBorder="1"/>
    <xf numFmtId="0" fontId="0" fillId="0" borderId="6" xfId="0" quotePrefix="1" applyBorder="1"/>
    <xf numFmtId="0" fontId="0" fillId="0" borderId="9" xfId="0" quotePrefix="1" applyBorder="1"/>
    <xf numFmtId="0" fontId="0" fillId="0" borderId="11" xfId="0" quotePrefix="1" applyBorder="1"/>
    <xf numFmtId="0" fontId="0" fillId="0" borderId="12" xfId="0" quotePrefix="1" applyBorder="1"/>
    <xf numFmtId="0" fontId="2" fillId="2" borderId="11" xfId="1" applyBorder="1"/>
    <xf numFmtId="0" fontId="0" fillId="3" borderId="5" xfId="0" applyFill="1" applyBorder="1"/>
    <xf numFmtId="0" fontId="0" fillId="3" borderId="11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12" xfId="0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2" xfId="0" applyFill="1" applyBorder="1"/>
    <xf numFmtId="0" fontId="0" fillId="4" borderId="10" xfId="0" applyFill="1" applyBorder="1"/>
    <xf numFmtId="0" fontId="0" fillId="4" borderId="3" xfId="0" applyFill="1" applyBorder="1"/>
    <xf numFmtId="0" fontId="0" fillId="4" borderId="5" xfId="0" applyFill="1" applyBorder="1"/>
    <xf numFmtId="0" fontId="0" fillId="4" borderId="11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4" xfId="0" applyFill="1" applyBorder="1"/>
    <xf numFmtId="0" fontId="2" fillId="2" borderId="6" xfId="1" applyBorder="1"/>
    <xf numFmtId="0" fontId="2" fillId="2" borderId="9" xfId="1" applyBorder="1"/>
    <xf numFmtId="0" fontId="2" fillId="2" borderId="12" xfId="1" applyBorder="1"/>
    <xf numFmtId="0" fontId="0" fillId="5" borderId="16" xfId="0" applyFill="1" applyBorder="1"/>
    <xf numFmtId="0" fontId="0" fillId="5" borderId="17" xfId="0" applyFill="1" applyBorder="1"/>
    <xf numFmtId="0" fontId="0" fillId="5" borderId="18" xfId="0" applyFill="1" applyBorder="1"/>
  </cellXfs>
  <cellStyles count="2">
    <cellStyle name="Good" xfId="1" builtinId="26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1"/>
  <sheetViews>
    <sheetView tabSelected="1" topLeftCell="A59" zoomScaleNormal="100" workbookViewId="0">
      <selection activeCell="J69" sqref="J69"/>
    </sheetView>
  </sheetViews>
  <sheetFormatPr defaultRowHeight="15" x14ac:dyDescent="0.25"/>
  <cols>
    <col min="1" max="1" width="3.42578125" customWidth="1"/>
    <col min="2" max="2" width="21.140625" customWidth="1"/>
    <col min="3" max="3" width="70" customWidth="1"/>
    <col min="4" max="4" width="11" customWidth="1"/>
    <col min="5" max="5" width="3.85546875" customWidth="1"/>
    <col min="6" max="6" width="14.7109375" customWidth="1"/>
    <col min="7" max="7" width="6.28515625" customWidth="1"/>
    <col min="9" max="9" width="4" customWidth="1"/>
    <col min="10" max="10" width="37" customWidth="1"/>
    <col min="11" max="11" width="6.42578125" customWidth="1"/>
    <col min="12" max="12" width="4.42578125" customWidth="1"/>
    <col min="13" max="13" width="4.5703125" customWidth="1"/>
    <col min="14" max="14" width="5.7109375" customWidth="1"/>
    <col min="15" max="15" width="20.85546875" customWidth="1"/>
    <col min="16" max="16" width="15.85546875" customWidth="1"/>
    <col min="17" max="17" width="14.28515625" customWidth="1"/>
    <col min="19" max="19" width="2.7109375" customWidth="1"/>
    <col min="20" max="20" width="17" customWidth="1"/>
    <col min="21" max="21" width="5.42578125" customWidth="1"/>
    <col min="22" max="22" width="5.5703125" customWidth="1"/>
    <col min="23" max="23" width="13.140625" customWidth="1"/>
  </cols>
  <sheetData>
    <row r="1" spans="1:23" x14ac:dyDescent="0.25">
      <c r="A1" s="11" t="s">
        <v>0</v>
      </c>
      <c r="B1" s="14"/>
      <c r="C1" s="13"/>
      <c r="E1" s="11" t="s">
        <v>4</v>
      </c>
      <c r="F1" s="14"/>
      <c r="G1" s="13"/>
      <c r="I1" s="11" t="s">
        <v>6</v>
      </c>
      <c r="J1" s="14"/>
      <c r="K1" s="13"/>
      <c r="M1" s="11" t="s">
        <v>8</v>
      </c>
      <c r="N1" s="14"/>
      <c r="O1" s="14"/>
      <c r="P1" s="14"/>
      <c r="Q1" s="13"/>
      <c r="S1" s="11" t="s">
        <v>11</v>
      </c>
      <c r="T1" s="14"/>
      <c r="U1" s="14"/>
      <c r="V1" s="14"/>
      <c r="W1" s="13"/>
    </row>
    <row r="2" spans="1:23" x14ac:dyDescent="0.25">
      <c r="A2" s="11" t="s">
        <v>1</v>
      </c>
      <c r="B2" s="12" t="s">
        <v>2</v>
      </c>
      <c r="C2" s="13" t="s">
        <v>3</v>
      </c>
      <c r="E2" s="11" t="s">
        <v>1</v>
      </c>
      <c r="F2" s="12" t="s">
        <v>3</v>
      </c>
      <c r="G2" s="13" t="s">
        <v>5</v>
      </c>
      <c r="I2" s="11" t="s">
        <v>1</v>
      </c>
      <c r="J2" s="12" t="s">
        <v>7</v>
      </c>
      <c r="K2" s="13" t="s">
        <v>5</v>
      </c>
      <c r="M2" s="11" t="s">
        <v>1</v>
      </c>
      <c r="N2" s="12" t="s">
        <v>2</v>
      </c>
      <c r="O2" s="14" t="s">
        <v>3</v>
      </c>
      <c r="P2" s="12" t="s">
        <v>9</v>
      </c>
      <c r="Q2" s="13" t="s">
        <v>10</v>
      </c>
      <c r="S2" s="11" t="s">
        <v>1</v>
      </c>
      <c r="T2" s="12" t="s">
        <v>12</v>
      </c>
      <c r="U2" s="14" t="s">
        <v>3</v>
      </c>
      <c r="V2" s="12" t="s">
        <v>13</v>
      </c>
      <c r="W2" s="13" t="s">
        <v>14</v>
      </c>
    </row>
    <row r="3" spans="1:23" x14ac:dyDescent="0.25">
      <c r="A3" s="2">
        <v>1</v>
      </c>
      <c r="B3" s="9" t="s">
        <v>15</v>
      </c>
      <c r="C3" s="4" t="s">
        <v>35</v>
      </c>
      <c r="E3" s="2">
        <v>1</v>
      </c>
      <c r="F3" s="9" t="s">
        <v>55</v>
      </c>
      <c r="G3" s="4">
        <v>1</v>
      </c>
      <c r="I3" s="2">
        <v>1</v>
      </c>
      <c r="J3" s="9" t="s">
        <v>58</v>
      </c>
      <c r="K3" s="4">
        <v>3</v>
      </c>
      <c r="M3" s="2">
        <v>1</v>
      </c>
      <c r="N3" s="9" t="s">
        <v>61</v>
      </c>
      <c r="O3" s="3" t="s">
        <v>65</v>
      </c>
      <c r="P3" s="9" t="s">
        <v>69</v>
      </c>
      <c r="Q3" s="4" t="s">
        <v>70</v>
      </c>
      <c r="S3" s="2">
        <v>1</v>
      </c>
      <c r="T3" s="17" t="s">
        <v>71</v>
      </c>
      <c r="U3" s="3" t="s">
        <v>75</v>
      </c>
      <c r="V3" s="9">
        <v>20</v>
      </c>
      <c r="W3" s="15" t="s">
        <v>79</v>
      </c>
    </row>
    <row r="4" spans="1:23" x14ac:dyDescent="0.25">
      <c r="A4" s="2">
        <v>2</v>
      </c>
      <c r="B4" s="9" t="s">
        <v>16</v>
      </c>
      <c r="C4" s="4" t="s">
        <v>36</v>
      </c>
      <c r="E4" s="2">
        <v>2</v>
      </c>
      <c r="F4" s="9" t="s">
        <v>56</v>
      </c>
      <c r="G4" s="4">
        <v>3</v>
      </c>
      <c r="I4" s="2">
        <v>2</v>
      </c>
      <c r="J4" s="9" t="s">
        <v>59</v>
      </c>
      <c r="K4" s="4">
        <v>5</v>
      </c>
      <c r="M4" s="2">
        <v>2</v>
      </c>
      <c r="N4" s="9" t="s">
        <v>62</v>
      </c>
      <c r="O4" s="3" t="s">
        <v>66</v>
      </c>
      <c r="P4" s="9" t="s">
        <v>69</v>
      </c>
      <c r="Q4" s="4" t="s">
        <v>70</v>
      </c>
      <c r="S4" s="2">
        <v>2</v>
      </c>
      <c r="T4" s="17" t="s">
        <v>72</v>
      </c>
      <c r="U4" s="3" t="s">
        <v>76</v>
      </c>
      <c r="V4" s="9">
        <v>21</v>
      </c>
      <c r="W4" s="15" t="s">
        <v>79</v>
      </c>
    </row>
    <row r="5" spans="1:23" x14ac:dyDescent="0.25">
      <c r="A5" s="2">
        <v>3</v>
      </c>
      <c r="B5" s="9" t="s">
        <v>17</v>
      </c>
      <c r="C5" s="4" t="s">
        <v>37</v>
      </c>
      <c r="E5" s="5">
        <v>3</v>
      </c>
      <c r="F5" s="10" t="s">
        <v>57</v>
      </c>
      <c r="G5" s="7">
        <v>5</v>
      </c>
      <c r="I5" s="5">
        <v>3</v>
      </c>
      <c r="J5" s="10" t="s">
        <v>60</v>
      </c>
      <c r="K5" s="7">
        <v>5</v>
      </c>
      <c r="M5" s="2">
        <v>3</v>
      </c>
      <c r="N5" s="9" t="s">
        <v>63</v>
      </c>
      <c r="O5" s="3" t="s">
        <v>67</v>
      </c>
      <c r="P5" s="9" t="s">
        <v>69</v>
      </c>
      <c r="Q5" s="4" t="s">
        <v>70</v>
      </c>
      <c r="S5" s="2">
        <v>3</v>
      </c>
      <c r="T5" s="17" t="s">
        <v>73</v>
      </c>
      <c r="U5" s="3" t="s">
        <v>77</v>
      </c>
      <c r="V5" s="9">
        <v>22</v>
      </c>
      <c r="W5" s="15" t="s">
        <v>79</v>
      </c>
    </row>
    <row r="6" spans="1:23" x14ac:dyDescent="0.25">
      <c r="A6" s="2">
        <v>4</v>
      </c>
      <c r="B6" s="9" t="s">
        <v>18</v>
      </c>
      <c r="C6" s="4" t="s">
        <v>38</v>
      </c>
      <c r="M6" s="5">
        <v>4</v>
      </c>
      <c r="N6" s="10" t="s">
        <v>64</v>
      </c>
      <c r="O6" s="6" t="s">
        <v>68</v>
      </c>
      <c r="P6" s="10" t="s">
        <v>69</v>
      </c>
      <c r="Q6" s="7" t="s">
        <v>70</v>
      </c>
      <c r="S6" s="5">
        <v>4</v>
      </c>
      <c r="T6" s="18" t="s">
        <v>74</v>
      </c>
      <c r="U6" s="6" t="s">
        <v>78</v>
      </c>
      <c r="V6" s="10">
        <v>23</v>
      </c>
      <c r="W6" s="16" t="s">
        <v>79</v>
      </c>
    </row>
    <row r="7" spans="1:23" x14ac:dyDescent="0.25">
      <c r="A7" s="2">
        <v>5</v>
      </c>
      <c r="B7" s="9" t="s">
        <v>19</v>
      </c>
      <c r="C7" s="4" t="s">
        <v>39</v>
      </c>
    </row>
    <row r="8" spans="1:23" x14ac:dyDescent="0.25">
      <c r="A8" s="2">
        <v>6</v>
      </c>
      <c r="B8" s="9" t="s">
        <v>20</v>
      </c>
      <c r="C8" s="4" t="s">
        <v>40</v>
      </c>
    </row>
    <row r="9" spans="1:23" x14ac:dyDescent="0.25">
      <c r="A9" s="2">
        <v>7</v>
      </c>
      <c r="B9" s="9" t="s">
        <v>21</v>
      </c>
      <c r="C9" s="4" t="s">
        <v>41</v>
      </c>
    </row>
    <row r="10" spans="1:23" x14ac:dyDescent="0.25">
      <c r="A10" s="2">
        <v>8</v>
      </c>
      <c r="B10" s="9" t="s">
        <v>22</v>
      </c>
      <c r="C10" s="4" t="s">
        <v>42</v>
      </c>
    </row>
    <row r="11" spans="1:23" x14ac:dyDescent="0.25">
      <c r="A11" s="2">
        <v>9</v>
      </c>
      <c r="B11" s="9" t="s">
        <v>23</v>
      </c>
      <c r="C11" s="4" t="s">
        <v>43</v>
      </c>
    </row>
    <row r="12" spans="1:23" x14ac:dyDescent="0.25">
      <c r="A12" s="2">
        <v>10</v>
      </c>
      <c r="B12" s="9" t="s">
        <v>24</v>
      </c>
      <c r="C12" s="4" t="s">
        <v>44</v>
      </c>
    </row>
    <row r="13" spans="1:23" x14ac:dyDescent="0.25">
      <c r="A13" s="2">
        <v>11</v>
      </c>
      <c r="B13" s="9" t="s">
        <v>25</v>
      </c>
      <c r="C13" s="4" t="s">
        <v>45</v>
      </c>
    </row>
    <row r="14" spans="1:23" x14ac:dyDescent="0.25">
      <c r="A14" s="2">
        <v>12</v>
      </c>
      <c r="B14" s="9" t="s">
        <v>26</v>
      </c>
      <c r="C14" s="4" t="s">
        <v>46</v>
      </c>
    </row>
    <row r="15" spans="1:23" x14ac:dyDescent="0.25">
      <c r="A15" s="2">
        <v>13</v>
      </c>
      <c r="B15" s="9" t="s">
        <v>27</v>
      </c>
      <c r="C15" s="4" t="s">
        <v>47</v>
      </c>
    </row>
    <row r="16" spans="1:23" x14ac:dyDescent="0.25">
      <c r="A16" s="2">
        <v>14</v>
      </c>
      <c r="B16" s="9" t="s">
        <v>28</v>
      </c>
      <c r="C16" s="4" t="s">
        <v>48</v>
      </c>
    </row>
    <row r="17" spans="1:5" x14ac:dyDescent="0.25">
      <c r="A17" s="2">
        <v>15</v>
      </c>
      <c r="B17" s="9" t="s">
        <v>29</v>
      </c>
      <c r="C17" s="4" t="s">
        <v>49</v>
      </c>
    </row>
    <row r="18" spans="1:5" x14ac:dyDescent="0.25">
      <c r="A18" s="2">
        <v>16</v>
      </c>
      <c r="B18" s="9" t="s">
        <v>30</v>
      </c>
      <c r="C18" s="4" t="s">
        <v>50</v>
      </c>
    </row>
    <row r="19" spans="1:5" x14ac:dyDescent="0.25">
      <c r="A19" s="2">
        <v>17</v>
      </c>
      <c r="B19" s="9" t="s">
        <v>31</v>
      </c>
      <c r="C19" s="4" t="s">
        <v>51</v>
      </c>
    </row>
    <row r="20" spans="1:5" x14ac:dyDescent="0.25">
      <c r="A20" s="2">
        <v>18</v>
      </c>
      <c r="B20" s="9" t="s">
        <v>32</v>
      </c>
      <c r="C20" s="4" t="s">
        <v>52</v>
      </c>
    </row>
    <row r="21" spans="1:5" x14ac:dyDescent="0.25">
      <c r="A21" s="2">
        <v>19</v>
      </c>
      <c r="B21" s="9" t="s">
        <v>33</v>
      </c>
      <c r="C21" s="4" t="s">
        <v>53</v>
      </c>
    </row>
    <row r="22" spans="1:5" x14ac:dyDescent="0.25">
      <c r="A22" s="5">
        <v>20</v>
      </c>
      <c r="B22" s="10" t="s">
        <v>34</v>
      </c>
      <c r="C22" s="7" t="s">
        <v>54</v>
      </c>
    </row>
    <row r="24" spans="1:5" x14ac:dyDescent="0.25">
      <c r="A24" t="s">
        <v>80</v>
      </c>
    </row>
    <row r="25" spans="1:5" x14ac:dyDescent="0.25">
      <c r="A25" s="11" t="s">
        <v>1</v>
      </c>
      <c r="B25" s="12" t="s">
        <v>82</v>
      </c>
      <c r="C25" s="14" t="s">
        <v>83</v>
      </c>
      <c r="D25" s="12" t="s">
        <v>85</v>
      </c>
      <c r="E25" s="12" t="s">
        <v>84</v>
      </c>
    </row>
    <row r="26" spans="1:5" x14ac:dyDescent="0.25">
      <c r="A26" s="27">
        <v>1</v>
      </c>
      <c r="B26" s="28" t="s">
        <v>75</v>
      </c>
      <c r="C26" s="29" t="s">
        <v>36</v>
      </c>
      <c r="D26" s="28">
        <v>2</v>
      </c>
      <c r="E26" s="28">
        <v>3</v>
      </c>
    </row>
    <row r="27" spans="1:5" x14ac:dyDescent="0.25">
      <c r="A27" s="30"/>
      <c r="B27" s="31"/>
      <c r="C27" s="32" t="s">
        <v>37</v>
      </c>
      <c r="D27" s="31">
        <v>3</v>
      </c>
      <c r="E27" s="31">
        <v>5</v>
      </c>
    </row>
    <row r="28" spans="1:5" x14ac:dyDescent="0.25">
      <c r="A28" s="30"/>
      <c r="B28" s="31"/>
      <c r="C28" s="32" t="s">
        <v>42</v>
      </c>
      <c r="D28" s="31">
        <v>8</v>
      </c>
      <c r="E28" s="31">
        <v>5</v>
      </c>
    </row>
    <row r="29" spans="1:5" x14ac:dyDescent="0.25">
      <c r="A29" s="30"/>
      <c r="B29" s="31"/>
      <c r="C29" s="32" t="s">
        <v>43</v>
      </c>
      <c r="D29" s="31">
        <v>9</v>
      </c>
      <c r="E29" s="31">
        <v>3</v>
      </c>
    </row>
    <row r="30" spans="1:5" x14ac:dyDescent="0.25">
      <c r="A30" s="30"/>
      <c r="B30" s="31"/>
      <c r="C30" s="32" t="s">
        <v>44</v>
      </c>
      <c r="D30" s="31">
        <v>10</v>
      </c>
      <c r="E30" s="31">
        <v>5</v>
      </c>
    </row>
    <row r="31" spans="1:5" x14ac:dyDescent="0.25">
      <c r="A31" s="30"/>
      <c r="B31" s="31"/>
      <c r="C31" s="32" t="s">
        <v>45</v>
      </c>
      <c r="D31" s="31">
        <v>11</v>
      </c>
      <c r="E31" s="31">
        <v>5</v>
      </c>
    </row>
    <row r="32" spans="1:5" x14ac:dyDescent="0.25">
      <c r="A32" s="30"/>
      <c r="B32" s="31"/>
      <c r="C32" s="32" t="s">
        <v>46</v>
      </c>
      <c r="D32" s="31">
        <v>12</v>
      </c>
      <c r="E32" s="31">
        <v>5</v>
      </c>
    </row>
    <row r="33" spans="1:5" x14ac:dyDescent="0.25">
      <c r="A33" s="30"/>
      <c r="B33" s="31"/>
      <c r="C33" s="32" t="s">
        <v>48</v>
      </c>
      <c r="D33" s="31">
        <v>14</v>
      </c>
      <c r="E33" s="31">
        <v>5</v>
      </c>
    </row>
    <row r="34" spans="1:5" x14ac:dyDescent="0.25">
      <c r="A34" s="30"/>
      <c r="B34" s="31"/>
      <c r="C34" s="32" t="s">
        <v>49</v>
      </c>
      <c r="D34" s="31">
        <v>15</v>
      </c>
      <c r="E34" s="31">
        <v>5</v>
      </c>
    </row>
    <row r="35" spans="1:5" x14ac:dyDescent="0.25">
      <c r="A35" s="30"/>
      <c r="B35" s="31"/>
      <c r="C35" s="32" t="s">
        <v>50</v>
      </c>
      <c r="D35" s="31">
        <v>16</v>
      </c>
      <c r="E35" s="31">
        <v>5</v>
      </c>
    </row>
    <row r="36" spans="1:5" x14ac:dyDescent="0.25">
      <c r="A36" s="30"/>
      <c r="B36" s="31"/>
      <c r="C36" s="32" t="s">
        <v>51</v>
      </c>
      <c r="D36" s="31">
        <v>17</v>
      </c>
      <c r="E36" s="31">
        <v>5</v>
      </c>
    </row>
    <row r="37" spans="1:5" x14ac:dyDescent="0.25">
      <c r="A37" s="30"/>
      <c r="B37" s="31"/>
      <c r="C37" s="32" t="s">
        <v>52</v>
      </c>
      <c r="D37" s="31">
        <v>18</v>
      </c>
      <c r="E37" s="31">
        <v>3</v>
      </c>
    </row>
    <row r="38" spans="1:5" x14ac:dyDescent="0.25">
      <c r="A38" s="30"/>
      <c r="B38" s="31"/>
      <c r="C38" s="32" t="s">
        <v>54</v>
      </c>
      <c r="D38" s="31">
        <v>20</v>
      </c>
      <c r="E38" s="31">
        <v>1</v>
      </c>
    </row>
    <row r="39" spans="1:5" x14ac:dyDescent="0.25">
      <c r="A39" s="20"/>
      <c r="B39" s="20"/>
      <c r="C39" s="21" t="s">
        <v>55</v>
      </c>
      <c r="D39" s="22">
        <v>1</v>
      </c>
      <c r="E39" s="21">
        <v>3</v>
      </c>
    </row>
    <row r="40" spans="1:5" x14ac:dyDescent="0.25">
      <c r="A40" s="23"/>
      <c r="B40" s="24"/>
      <c r="C40" s="25" t="s">
        <v>56</v>
      </c>
      <c r="D40" s="24">
        <v>2</v>
      </c>
      <c r="E40" s="24">
        <v>5</v>
      </c>
    </row>
    <row r="41" spans="1:5" x14ac:dyDescent="0.25">
      <c r="A41" s="27">
        <v>2</v>
      </c>
      <c r="B41" s="28" t="s">
        <v>76</v>
      </c>
      <c r="C41" s="29" t="s">
        <v>38</v>
      </c>
      <c r="D41" s="28">
        <v>4</v>
      </c>
      <c r="E41" s="28">
        <v>5</v>
      </c>
    </row>
    <row r="42" spans="1:5" x14ac:dyDescent="0.25">
      <c r="A42" s="30"/>
      <c r="B42" s="31"/>
      <c r="C42" s="32" t="s">
        <v>39</v>
      </c>
      <c r="D42" s="31">
        <v>5</v>
      </c>
      <c r="E42" s="31">
        <v>5</v>
      </c>
    </row>
    <row r="43" spans="1:5" x14ac:dyDescent="0.25">
      <c r="A43" s="30"/>
      <c r="B43" s="31"/>
      <c r="C43" s="32" t="s">
        <v>40</v>
      </c>
      <c r="D43" s="31">
        <v>6</v>
      </c>
      <c r="E43" s="31">
        <v>3</v>
      </c>
    </row>
    <row r="44" spans="1:5" x14ac:dyDescent="0.25">
      <c r="A44" s="30"/>
      <c r="B44" s="31"/>
      <c r="C44" s="32" t="s">
        <v>50</v>
      </c>
      <c r="D44" s="31">
        <v>16</v>
      </c>
      <c r="E44" s="31">
        <v>5</v>
      </c>
    </row>
    <row r="45" spans="1:5" x14ac:dyDescent="0.25">
      <c r="A45" s="20"/>
      <c r="B45" s="20"/>
      <c r="C45" s="21" t="s">
        <v>55</v>
      </c>
      <c r="D45" s="22">
        <v>1</v>
      </c>
      <c r="E45" s="21">
        <v>3</v>
      </c>
    </row>
    <row r="46" spans="1:5" x14ac:dyDescent="0.25">
      <c r="A46" s="23"/>
      <c r="B46" s="24"/>
      <c r="C46" s="25" t="s">
        <v>56</v>
      </c>
      <c r="D46" s="24">
        <v>2</v>
      </c>
      <c r="E46" s="24">
        <v>5</v>
      </c>
    </row>
    <row r="47" spans="1:5" x14ac:dyDescent="0.25">
      <c r="A47" s="27">
        <v>3</v>
      </c>
      <c r="B47" s="28" t="s">
        <v>77</v>
      </c>
      <c r="C47" s="29" t="s">
        <v>35</v>
      </c>
      <c r="D47" s="28">
        <v>1</v>
      </c>
      <c r="E47" s="28">
        <v>3</v>
      </c>
    </row>
    <row r="48" spans="1:5" x14ac:dyDescent="0.25">
      <c r="A48" s="30"/>
      <c r="B48" s="31"/>
      <c r="C48" s="32" t="s">
        <v>41</v>
      </c>
      <c r="D48" s="31">
        <v>7</v>
      </c>
      <c r="E48" s="31">
        <v>5</v>
      </c>
    </row>
    <row r="49" spans="1:14" x14ac:dyDescent="0.25">
      <c r="A49" s="30"/>
      <c r="B49" s="31"/>
      <c r="C49" s="32" t="s">
        <v>53</v>
      </c>
      <c r="D49" s="31">
        <v>19</v>
      </c>
      <c r="E49" s="31">
        <v>3</v>
      </c>
    </row>
    <row r="50" spans="1:14" x14ac:dyDescent="0.25">
      <c r="A50" s="20"/>
      <c r="B50" s="20"/>
      <c r="C50" s="21" t="s">
        <v>55</v>
      </c>
      <c r="D50" s="22">
        <v>1</v>
      </c>
      <c r="E50" s="21">
        <v>3</v>
      </c>
    </row>
    <row r="51" spans="1:14" x14ac:dyDescent="0.25">
      <c r="A51" s="23"/>
      <c r="B51" s="24"/>
      <c r="C51" s="25" t="s">
        <v>56</v>
      </c>
      <c r="D51" s="24">
        <v>2</v>
      </c>
      <c r="E51" s="24">
        <v>5</v>
      </c>
    </row>
    <row r="52" spans="1:14" x14ac:dyDescent="0.25">
      <c r="A52" s="30">
        <v>4</v>
      </c>
      <c r="B52" s="30" t="s">
        <v>78</v>
      </c>
      <c r="C52" s="28" t="s">
        <v>37</v>
      </c>
      <c r="D52" s="33">
        <v>3</v>
      </c>
      <c r="E52" s="31">
        <v>3</v>
      </c>
    </row>
    <row r="53" spans="1:14" x14ac:dyDescent="0.25">
      <c r="A53" s="30"/>
      <c r="B53" s="30"/>
      <c r="C53" s="31" t="s">
        <v>42</v>
      </c>
      <c r="D53" s="33">
        <v>8</v>
      </c>
      <c r="E53" s="31">
        <v>5</v>
      </c>
    </row>
    <row r="54" spans="1:14" x14ac:dyDescent="0.25">
      <c r="A54" s="30"/>
      <c r="B54" s="30"/>
      <c r="C54" s="31" t="s">
        <v>47</v>
      </c>
      <c r="D54" s="33">
        <v>13</v>
      </c>
      <c r="E54" s="31">
        <v>5</v>
      </c>
    </row>
    <row r="55" spans="1:14" x14ac:dyDescent="0.25">
      <c r="A55" s="30"/>
      <c r="B55" s="30"/>
      <c r="C55" s="31" t="s">
        <v>52</v>
      </c>
      <c r="D55" s="33">
        <v>18</v>
      </c>
      <c r="E55" s="31">
        <v>3</v>
      </c>
    </row>
    <row r="56" spans="1:14" x14ac:dyDescent="0.25">
      <c r="A56" s="30"/>
      <c r="B56" s="30"/>
      <c r="C56" s="31" t="s">
        <v>54</v>
      </c>
      <c r="D56" s="33">
        <v>20</v>
      </c>
      <c r="E56" s="31">
        <v>3</v>
      </c>
    </row>
    <row r="57" spans="1:14" x14ac:dyDescent="0.25">
      <c r="A57" s="20"/>
      <c r="B57" s="20"/>
      <c r="C57" s="21" t="s">
        <v>55</v>
      </c>
      <c r="D57" s="22">
        <v>1</v>
      </c>
      <c r="E57" s="21">
        <v>3</v>
      </c>
    </row>
    <row r="58" spans="1:14" x14ac:dyDescent="0.25">
      <c r="A58" s="23"/>
      <c r="B58" s="24"/>
      <c r="C58" s="25" t="s">
        <v>56</v>
      </c>
      <c r="D58" s="24">
        <v>2</v>
      </c>
      <c r="E58" s="24">
        <v>5</v>
      </c>
    </row>
    <row r="60" spans="1:14" x14ac:dyDescent="0.25">
      <c r="A60" t="s">
        <v>94</v>
      </c>
      <c r="K60" t="s">
        <v>86</v>
      </c>
    </row>
    <row r="61" spans="1:14" x14ac:dyDescent="0.25">
      <c r="A61" s="12" t="s">
        <v>1</v>
      </c>
      <c r="B61" s="13" t="s">
        <v>90</v>
      </c>
      <c r="C61" s="12" t="s">
        <v>91</v>
      </c>
      <c r="D61" s="12" t="s">
        <v>92</v>
      </c>
      <c r="E61" s="12" t="s">
        <v>84</v>
      </c>
      <c r="F61" s="12" t="s">
        <v>93</v>
      </c>
      <c r="K61" s="11" t="s">
        <v>81</v>
      </c>
      <c r="L61" s="11" t="s">
        <v>87</v>
      </c>
      <c r="M61" s="12" t="s">
        <v>88</v>
      </c>
      <c r="N61" s="13" t="s">
        <v>89</v>
      </c>
    </row>
    <row r="62" spans="1:14" x14ac:dyDescent="0.25">
      <c r="A62" s="8">
        <v>1</v>
      </c>
      <c r="B62" s="1" t="s">
        <v>65</v>
      </c>
      <c r="C62" s="33" t="s">
        <v>36</v>
      </c>
      <c r="D62" s="33">
        <v>2</v>
      </c>
      <c r="E62" s="35">
        <v>3</v>
      </c>
      <c r="F62" s="19">
        <v>3</v>
      </c>
      <c r="K62" s="2">
        <v>1</v>
      </c>
      <c r="L62" s="2">
        <f>SUM(F62:F71)</f>
        <v>27</v>
      </c>
      <c r="M62" s="9">
        <f>SUM(E26:E40)</f>
        <v>63</v>
      </c>
      <c r="N62" s="4">
        <f>L62/M62</f>
        <v>0.42857142857142855</v>
      </c>
    </row>
    <row r="63" spans="1:14" x14ac:dyDescent="0.25">
      <c r="A63" s="9"/>
      <c r="B63" s="38"/>
      <c r="C63" s="33" t="s">
        <v>43</v>
      </c>
      <c r="D63" s="33">
        <v>9</v>
      </c>
      <c r="E63" s="35">
        <v>3</v>
      </c>
      <c r="F63" s="19">
        <v>3</v>
      </c>
      <c r="K63" s="2">
        <v>2</v>
      </c>
      <c r="L63" s="2">
        <f>SUM(F72:F81)</f>
        <v>11</v>
      </c>
      <c r="M63" s="9">
        <f>SUM(E41:E46)</f>
        <v>26</v>
      </c>
      <c r="N63" s="4">
        <f>L63/M63</f>
        <v>0.42307692307692307</v>
      </c>
    </row>
    <row r="64" spans="1:14" x14ac:dyDescent="0.25">
      <c r="A64" s="9"/>
      <c r="B64" s="38"/>
      <c r="C64" s="33" t="s">
        <v>44</v>
      </c>
      <c r="D64" s="33">
        <v>10</v>
      </c>
      <c r="E64" s="35">
        <v>5</v>
      </c>
      <c r="F64" s="19">
        <v>5</v>
      </c>
      <c r="K64" s="2">
        <v>3</v>
      </c>
      <c r="L64" s="2">
        <f>SUM(F82:F91)</f>
        <v>16</v>
      </c>
      <c r="M64" s="9">
        <f>SUM(E47:E51)</f>
        <v>19</v>
      </c>
      <c r="N64" s="4">
        <f>L64/M64</f>
        <v>0.84210526315789469</v>
      </c>
    </row>
    <row r="65" spans="1:14" x14ac:dyDescent="0.25">
      <c r="A65" s="9"/>
      <c r="B65" s="38"/>
      <c r="C65" s="33" t="s">
        <v>48</v>
      </c>
      <c r="D65" s="33">
        <v>14</v>
      </c>
      <c r="E65" s="35">
        <v>5</v>
      </c>
      <c r="F65" s="19">
        <v>5</v>
      </c>
      <c r="K65" s="5">
        <v>4</v>
      </c>
      <c r="L65" s="5">
        <f>SUM(F92:F101)</f>
        <v>11</v>
      </c>
      <c r="M65" s="10">
        <f>SUM(E52:E58)</f>
        <v>27</v>
      </c>
      <c r="N65" s="7">
        <f>L65/M65</f>
        <v>0.40740740740740738</v>
      </c>
    </row>
    <row r="66" spans="1:14" x14ac:dyDescent="0.25">
      <c r="A66" s="9"/>
      <c r="B66" s="38"/>
      <c r="C66" s="33" t="s">
        <v>40</v>
      </c>
      <c r="D66" s="33">
        <v>6</v>
      </c>
      <c r="E66" s="33">
        <v>3</v>
      </c>
      <c r="F66" s="9"/>
    </row>
    <row r="67" spans="1:14" x14ac:dyDescent="0.25">
      <c r="A67" s="9"/>
      <c r="B67" s="38"/>
      <c r="C67" s="33" t="s">
        <v>41</v>
      </c>
      <c r="D67" s="33">
        <v>7</v>
      </c>
      <c r="E67" s="33">
        <v>5</v>
      </c>
      <c r="F67" s="9"/>
    </row>
    <row r="68" spans="1:14" x14ac:dyDescent="0.25">
      <c r="A68" s="9"/>
      <c r="B68" s="38"/>
      <c r="C68" s="33" t="s">
        <v>53</v>
      </c>
      <c r="D68" s="33">
        <v>19</v>
      </c>
      <c r="E68" s="33">
        <v>3</v>
      </c>
      <c r="F68" s="9"/>
      <c r="J68" t="s">
        <v>95</v>
      </c>
      <c r="K68">
        <f>MAX(N62:N65)</f>
        <v>0.84210526315789469</v>
      </c>
    </row>
    <row r="69" spans="1:14" x14ac:dyDescent="0.25">
      <c r="A69" s="9"/>
      <c r="B69" s="38"/>
      <c r="C69" s="33" t="s">
        <v>54</v>
      </c>
      <c r="D69" s="33">
        <v>20</v>
      </c>
      <c r="E69" s="35">
        <v>3</v>
      </c>
      <c r="F69" s="19">
        <v>3</v>
      </c>
    </row>
    <row r="70" spans="1:14" x14ac:dyDescent="0.25">
      <c r="A70" s="9"/>
      <c r="B70" s="38"/>
      <c r="C70" s="22" t="s">
        <v>55</v>
      </c>
      <c r="D70" s="22">
        <v>1</v>
      </c>
      <c r="E70" s="35">
        <v>3</v>
      </c>
      <c r="F70" s="19">
        <v>3</v>
      </c>
    </row>
    <row r="71" spans="1:14" x14ac:dyDescent="0.25">
      <c r="A71" s="10"/>
      <c r="B71" s="39"/>
      <c r="C71" s="26" t="s">
        <v>56</v>
      </c>
      <c r="D71" s="26">
        <v>2</v>
      </c>
      <c r="E71" s="36">
        <v>5</v>
      </c>
      <c r="F71" s="37">
        <v>5</v>
      </c>
    </row>
    <row r="72" spans="1:14" x14ac:dyDescent="0.25">
      <c r="A72" s="8">
        <v>2</v>
      </c>
      <c r="B72" s="40" t="s">
        <v>66</v>
      </c>
      <c r="C72" s="34" t="s">
        <v>36</v>
      </c>
      <c r="D72" s="34">
        <v>2</v>
      </c>
      <c r="E72" s="34">
        <v>3</v>
      </c>
      <c r="F72" s="9"/>
    </row>
    <row r="73" spans="1:14" x14ac:dyDescent="0.25">
      <c r="A73" s="9"/>
      <c r="B73" s="38"/>
      <c r="C73" s="33" t="s">
        <v>43</v>
      </c>
      <c r="D73" s="33">
        <v>9</v>
      </c>
      <c r="E73" s="33">
        <v>3</v>
      </c>
      <c r="F73" s="9"/>
    </row>
    <row r="74" spans="1:14" x14ac:dyDescent="0.25">
      <c r="A74" s="9"/>
      <c r="B74" s="38"/>
      <c r="C74" s="33" t="s">
        <v>44</v>
      </c>
      <c r="D74" s="33">
        <v>10</v>
      </c>
      <c r="E74" s="33">
        <v>5</v>
      </c>
      <c r="F74" s="9"/>
    </row>
    <row r="75" spans="1:14" x14ac:dyDescent="0.25">
      <c r="A75" s="9"/>
      <c r="B75" s="38"/>
      <c r="C75" s="33" t="s">
        <v>48</v>
      </c>
      <c r="D75" s="33">
        <v>14</v>
      </c>
      <c r="E75" s="33">
        <v>5</v>
      </c>
      <c r="F75" s="9"/>
    </row>
    <row r="76" spans="1:14" x14ac:dyDescent="0.25">
      <c r="A76" s="9"/>
      <c r="B76" s="38"/>
      <c r="C76" s="33" t="s">
        <v>40</v>
      </c>
      <c r="D76" s="33">
        <v>6</v>
      </c>
      <c r="E76" s="35">
        <v>3</v>
      </c>
      <c r="F76" s="19">
        <v>3</v>
      </c>
    </row>
    <row r="77" spans="1:14" x14ac:dyDescent="0.25">
      <c r="A77" s="9"/>
      <c r="B77" s="38"/>
      <c r="C77" s="33" t="s">
        <v>41</v>
      </c>
      <c r="D77" s="33">
        <v>7</v>
      </c>
      <c r="E77" s="33">
        <v>5</v>
      </c>
      <c r="F77" s="9"/>
    </row>
    <row r="78" spans="1:14" x14ac:dyDescent="0.25">
      <c r="A78" s="9"/>
      <c r="B78" s="38"/>
      <c r="C78" s="33" t="s">
        <v>53</v>
      </c>
      <c r="D78" s="33">
        <v>19</v>
      </c>
      <c r="E78" s="33">
        <v>3</v>
      </c>
      <c r="F78" s="9"/>
    </row>
    <row r="79" spans="1:14" x14ac:dyDescent="0.25">
      <c r="A79" s="9"/>
      <c r="B79" s="38"/>
      <c r="C79" s="33" t="s">
        <v>54</v>
      </c>
      <c r="D79" s="33">
        <v>20</v>
      </c>
      <c r="E79" s="33">
        <v>3</v>
      </c>
      <c r="F79" s="9"/>
    </row>
    <row r="80" spans="1:14" x14ac:dyDescent="0.25">
      <c r="A80" s="9"/>
      <c r="B80" s="38"/>
      <c r="C80" s="22" t="s">
        <v>55</v>
      </c>
      <c r="D80" s="22">
        <v>1</v>
      </c>
      <c r="E80" s="35">
        <v>3</v>
      </c>
      <c r="F80" s="19">
        <v>3</v>
      </c>
    </row>
    <row r="81" spans="1:6" x14ac:dyDescent="0.25">
      <c r="A81" s="10"/>
      <c r="B81" s="39"/>
      <c r="C81" s="26" t="s">
        <v>56</v>
      </c>
      <c r="D81" s="26">
        <v>2</v>
      </c>
      <c r="E81" s="36">
        <v>5</v>
      </c>
      <c r="F81" s="37">
        <v>5</v>
      </c>
    </row>
    <row r="82" spans="1:6" x14ac:dyDescent="0.25">
      <c r="A82" s="8">
        <v>3</v>
      </c>
      <c r="B82" s="40" t="s">
        <v>67</v>
      </c>
      <c r="C82" s="34" t="s">
        <v>36</v>
      </c>
      <c r="D82" s="34">
        <v>2</v>
      </c>
      <c r="E82" s="34">
        <v>3</v>
      </c>
      <c r="F82" s="9"/>
    </row>
    <row r="83" spans="1:6" x14ac:dyDescent="0.25">
      <c r="A83" s="9"/>
      <c r="B83" s="38"/>
      <c r="C83" s="33" t="s">
        <v>43</v>
      </c>
      <c r="D83" s="33">
        <v>9</v>
      </c>
      <c r="E83" s="33">
        <v>3</v>
      </c>
      <c r="F83" s="9"/>
    </row>
    <row r="84" spans="1:6" x14ac:dyDescent="0.25">
      <c r="A84" s="9"/>
      <c r="B84" s="38"/>
      <c r="C84" s="33" t="s">
        <v>44</v>
      </c>
      <c r="D84" s="33">
        <v>10</v>
      </c>
      <c r="E84" s="33">
        <v>5</v>
      </c>
      <c r="F84" s="9"/>
    </row>
    <row r="85" spans="1:6" x14ac:dyDescent="0.25">
      <c r="A85" s="9"/>
      <c r="B85" s="38"/>
      <c r="C85" s="33" t="s">
        <v>48</v>
      </c>
      <c r="D85" s="33">
        <v>14</v>
      </c>
      <c r="E85" s="33">
        <v>5</v>
      </c>
      <c r="F85" s="9"/>
    </row>
    <row r="86" spans="1:6" x14ac:dyDescent="0.25">
      <c r="A86" s="9"/>
      <c r="B86" s="38"/>
      <c r="C86" s="33" t="s">
        <v>40</v>
      </c>
      <c r="D86" s="33">
        <v>6</v>
      </c>
      <c r="E86" s="33">
        <v>3</v>
      </c>
      <c r="F86" s="9"/>
    </row>
    <row r="87" spans="1:6" x14ac:dyDescent="0.25">
      <c r="A87" s="9"/>
      <c r="B87" s="38"/>
      <c r="C87" s="33" t="s">
        <v>41</v>
      </c>
      <c r="D87" s="33">
        <v>7</v>
      </c>
      <c r="E87" s="35">
        <v>5</v>
      </c>
      <c r="F87" s="19">
        <v>5</v>
      </c>
    </row>
    <row r="88" spans="1:6" x14ac:dyDescent="0.25">
      <c r="A88" s="9"/>
      <c r="B88" s="38"/>
      <c r="C88" s="33" t="s">
        <v>53</v>
      </c>
      <c r="D88" s="33">
        <v>19</v>
      </c>
      <c r="E88" s="35">
        <v>3</v>
      </c>
      <c r="F88" s="19">
        <v>3</v>
      </c>
    </row>
    <row r="89" spans="1:6" x14ac:dyDescent="0.25">
      <c r="A89" s="9"/>
      <c r="B89" s="38"/>
      <c r="C89" s="33" t="s">
        <v>54</v>
      </c>
      <c r="D89" s="33">
        <v>20</v>
      </c>
      <c r="E89" s="33">
        <v>3</v>
      </c>
      <c r="F89" s="9"/>
    </row>
    <row r="90" spans="1:6" x14ac:dyDescent="0.25">
      <c r="A90" s="9"/>
      <c r="B90" s="38"/>
      <c r="C90" s="22" t="s">
        <v>55</v>
      </c>
      <c r="D90" s="22">
        <v>1</v>
      </c>
      <c r="E90" s="35">
        <v>3</v>
      </c>
      <c r="F90" s="19">
        <v>3</v>
      </c>
    </row>
    <row r="91" spans="1:6" x14ac:dyDescent="0.25">
      <c r="A91" s="10"/>
      <c r="B91" s="39"/>
      <c r="C91" s="26" t="s">
        <v>56</v>
      </c>
      <c r="D91" s="26">
        <v>2</v>
      </c>
      <c r="E91" s="36">
        <v>5</v>
      </c>
      <c r="F91" s="37">
        <v>5</v>
      </c>
    </row>
    <row r="92" spans="1:6" x14ac:dyDescent="0.25">
      <c r="A92" s="8">
        <v>4</v>
      </c>
      <c r="B92" s="40" t="s">
        <v>68</v>
      </c>
      <c r="C92" s="34" t="s">
        <v>36</v>
      </c>
      <c r="D92" s="34">
        <v>2</v>
      </c>
      <c r="E92" s="34">
        <v>3</v>
      </c>
      <c r="F92" s="9"/>
    </row>
    <row r="93" spans="1:6" x14ac:dyDescent="0.25">
      <c r="A93" s="9"/>
      <c r="B93" s="38"/>
      <c r="C93" s="33" t="s">
        <v>43</v>
      </c>
      <c r="D93" s="33">
        <v>9</v>
      </c>
      <c r="E93" s="33">
        <v>3</v>
      </c>
      <c r="F93" s="9"/>
    </row>
    <row r="94" spans="1:6" x14ac:dyDescent="0.25">
      <c r="A94" s="9"/>
      <c r="B94" s="38"/>
      <c r="C94" s="33" t="s">
        <v>44</v>
      </c>
      <c r="D94" s="33">
        <v>10</v>
      </c>
      <c r="E94" s="33">
        <v>5</v>
      </c>
      <c r="F94" s="9"/>
    </row>
    <row r="95" spans="1:6" x14ac:dyDescent="0.25">
      <c r="A95" s="9"/>
      <c r="B95" s="38"/>
      <c r="C95" s="33" t="s">
        <v>48</v>
      </c>
      <c r="D95" s="33">
        <v>14</v>
      </c>
      <c r="E95" s="33">
        <v>5</v>
      </c>
      <c r="F95" s="9"/>
    </row>
    <row r="96" spans="1:6" x14ac:dyDescent="0.25">
      <c r="A96" s="9"/>
      <c r="B96" s="38"/>
      <c r="C96" s="33" t="s">
        <v>40</v>
      </c>
      <c r="D96" s="33">
        <v>6</v>
      </c>
      <c r="E96" s="33">
        <v>3</v>
      </c>
      <c r="F96" s="9"/>
    </row>
    <row r="97" spans="1:6" x14ac:dyDescent="0.25">
      <c r="A97" s="9"/>
      <c r="B97" s="38"/>
      <c r="C97" s="33" t="s">
        <v>41</v>
      </c>
      <c r="D97" s="33">
        <v>7</v>
      </c>
      <c r="E97" s="33">
        <v>5</v>
      </c>
      <c r="F97" s="9"/>
    </row>
    <row r="98" spans="1:6" x14ac:dyDescent="0.25">
      <c r="A98" s="9"/>
      <c r="B98" s="38"/>
      <c r="C98" s="33" t="s">
        <v>53</v>
      </c>
      <c r="D98" s="33">
        <v>19</v>
      </c>
      <c r="E98" s="33">
        <v>3</v>
      </c>
      <c r="F98" s="9"/>
    </row>
    <row r="99" spans="1:6" x14ac:dyDescent="0.25">
      <c r="A99" s="9"/>
      <c r="B99" s="38"/>
      <c r="C99" s="33" t="s">
        <v>54</v>
      </c>
      <c r="D99" s="33">
        <v>20</v>
      </c>
      <c r="E99" s="35">
        <v>3</v>
      </c>
      <c r="F99" s="19">
        <v>3</v>
      </c>
    </row>
    <row r="100" spans="1:6" x14ac:dyDescent="0.25">
      <c r="A100" s="9"/>
      <c r="B100" s="38"/>
      <c r="C100" s="22" t="s">
        <v>55</v>
      </c>
      <c r="D100" s="22">
        <v>1</v>
      </c>
      <c r="E100" s="35">
        <v>3</v>
      </c>
      <c r="F100" s="19">
        <v>3</v>
      </c>
    </row>
    <row r="101" spans="1:6" x14ac:dyDescent="0.25">
      <c r="A101" s="10"/>
      <c r="B101" s="39"/>
      <c r="C101" s="26" t="s">
        <v>56</v>
      </c>
      <c r="D101" s="26">
        <v>2</v>
      </c>
      <c r="E101" s="36">
        <v>5</v>
      </c>
      <c r="F101" s="37">
        <v>5</v>
      </c>
    </row>
  </sheetData>
  <phoneticPr fontId="1" type="noConversion"/>
  <conditionalFormatting sqref="D26:D38 D62:D69">
    <cfRule type="duplicateValues" dxfId="7" priority="8"/>
  </conditionalFormatting>
  <conditionalFormatting sqref="D41:D44 D72:D79">
    <cfRule type="duplicateValues" dxfId="6" priority="7"/>
  </conditionalFormatting>
  <conditionalFormatting sqref="D47:D49 D82:D89">
    <cfRule type="duplicateValues" dxfId="5" priority="6"/>
  </conditionalFormatting>
  <conditionalFormatting sqref="D52:D56 D92:D99">
    <cfRule type="duplicateValues" dxfId="4" priority="5"/>
  </conditionalFormatting>
  <conditionalFormatting sqref="D39:D40 D70:D71">
    <cfRule type="duplicateValues" dxfId="3" priority="4"/>
  </conditionalFormatting>
  <conditionalFormatting sqref="D45:D46 D80:D81">
    <cfRule type="duplicateValues" dxfId="2" priority="3"/>
  </conditionalFormatting>
  <conditionalFormatting sqref="D50:D51 D90:D91">
    <cfRule type="duplicateValues" dxfId="1" priority="2"/>
  </conditionalFormatting>
  <conditionalFormatting sqref="D57:D58 D100:D1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Jody Suseno</dc:creator>
  <cp:lastModifiedBy>Jody Suseno</cp:lastModifiedBy>
  <dcterms:created xsi:type="dcterms:W3CDTF">2015-06-05T18:17:20Z</dcterms:created>
  <dcterms:modified xsi:type="dcterms:W3CDTF">2023-06-17T04:18:47Z</dcterms:modified>
</cp:coreProperties>
</file>