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jodyk\OneDrive\Documents\Projects\laravel\project\exsys-cf-gkm\"/>
    </mc:Choice>
  </mc:AlternateContent>
  <xr:revisionPtr revIDLastSave="0" documentId="13_ncr:1_{43CF4E28-3ADD-48AA-A836-75EF2298BF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6" i="1" l="1"/>
  <c r="O51" i="1"/>
  <c r="O46" i="1"/>
  <c r="O37" i="1"/>
  <c r="O53" i="1"/>
  <c r="O54" i="1"/>
  <c r="O55" i="1"/>
  <c r="O52" i="1"/>
  <c r="Q52" i="1" s="1"/>
  <c r="O50" i="1"/>
  <c r="O48" i="1"/>
  <c r="O49" i="1"/>
  <c r="O47" i="1"/>
  <c r="O45" i="1"/>
  <c r="O39" i="1"/>
  <c r="O40" i="1"/>
  <c r="O41" i="1"/>
  <c r="O42" i="1"/>
  <c r="O43" i="1"/>
  <c r="O44" i="1"/>
  <c r="O38" i="1"/>
  <c r="O36" i="1"/>
  <c r="O32" i="1"/>
  <c r="O33" i="1"/>
  <c r="O34" i="1"/>
  <c r="O35" i="1"/>
  <c r="O31" i="1"/>
  <c r="P52" i="1"/>
  <c r="P47" i="1"/>
  <c r="P38" i="1"/>
  <c r="P31" i="1"/>
  <c r="Q47" i="1" l="1"/>
  <c r="Q38" i="1"/>
  <c r="R38" i="1" s="1"/>
  <c r="R52" i="1"/>
  <c r="Q31" i="1"/>
  <c r="R31" i="1" s="1"/>
  <c r="R47" i="1"/>
  <c r="L58" i="1" l="1"/>
</calcChain>
</file>

<file path=xl/sharedStrings.xml><?xml version="1.0" encoding="utf-8"?>
<sst xmlns="http://schemas.openxmlformats.org/spreadsheetml/2006/main" count="166" uniqueCount="105">
  <si>
    <t>Tabel gejala</t>
  </si>
  <si>
    <t>id</t>
  </si>
  <si>
    <t>kode</t>
  </si>
  <si>
    <t>nama</t>
  </si>
  <si>
    <t>Tabel bobot gejala</t>
  </si>
  <si>
    <t>bobot</t>
  </si>
  <si>
    <t>Tabel kompleksitas</t>
  </si>
  <si>
    <t xml:space="preserve">nama </t>
  </si>
  <si>
    <t>Tabel penyakit</t>
  </si>
  <si>
    <t>definisi</t>
  </si>
  <si>
    <t>solusi</t>
  </si>
  <si>
    <t>Tabel pasien</t>
  </si>
  <si>
    <t>nomor kartu identitas</t>
  </si>
  <si>
    <t>umur</t>
  </si>
  <si>
    <t>phone</t>
  </si>
  <si>
    <t>G0001</t>
  </si>
  <si>
    <t>G0002</t>
  </si>
  <si>
    <t>G0003</t>
  </si>
  <si>
    <t>G0004</t>
  </si>
  <si>
    <t>G0005</t>
  </si>
  <si>
    <t>G0006</t>
  </si>
  <si>
    <t>G0007</t>
  </si>
  <si>
    <t>G0008</t>
  </si>
  <si>
    <t>G0009</t>
  </si>
  <si>
    <t>G0010</t>
  </si>
  <si>
    <t>G0011</t>
  </si>
  <si>
    <t>G0012</t>
  </si>
  <si>
    <t>G0013</t>
  </si>
  <si>
    <t>G0014</t>
  </si>
  <si>
    <t>G0015</t>
  </si>
  <si>
    <t>G0016</t>
  </si>
  <si>
    <t>G0017</t>
  </si>
  <si>
    <t>G0018</t>
  </si>
  <si>
    <t>G0019</t>
  </si>
  <si>
    <t>G0020</t>
  </si>
  <si>
    <t>Sering merasakan sakit kepala</t>
  </si>
  <si>
    <t>Sulit untuk tidur</t>
  </si>
  <si>
    <t>Mudah merasa takut</t>
  </si>
  <si>
    <t>Merasa tegang, cemas dan khawatir</t>
  </si>
  <si>
    <t>Tangan sering bergemetar</t>
  </si>
  <si>
    <t>Pencernaan terganggu atau merasa lebih buruk</t>
  </si>
  <si>
    <t>Sulit untuk berpikir jernih</t>
  </si>
  <si>
    <t>Merasa tidak Bahagia</t>
  </si>
  <si>
    <t>Menangis lebih sering</t>
  </si>
  <si>
    <t>Merasa sulit untuk menikmati sehari-hari</t>
  </si>
  <si>
    <t>Sulit untuk mengambil keputusan</t>
  </si>
  <si>
    <t>Pekerjaan sehari-hari merasa terganggu</t>
  </si>
  <si>
    <t>Tidak mampu melakukan hal yang bermanfaat dalam hidup</t>
  </si>
  <si>
    <t>Kehilangan minat pada berbagai hal</t>
  </si>
  <si>
    <t>Merasa tidak berharga</t>
  </si>
  <si>
    <t>Mempunyai pikiran untuk mengakhiri hidup</t>
  </si>
  <si>
    <t>Merasa lelah sepanjang waktu</t>
  </si>
  <si>
    <t>Mengalami rasa tidak enak perut</t>
  </si>
  <si>
    <t>Terlalu banyak makan atau kurang nafsu makan</t>
  </si>
  <si>
    <t>Bergerak atau berbicara sangat lambat sehingga orang lain memperhatikannya</t>
  </si>
  <si>
    <t>Gejala Biasa</t>
  </si>
  <si>
    <t>Gejala Sedang</t>
  </si>
  <si>
    <t>Gejala Dominan</t>
  </si>
  <si>
    <t>P0001</t>
  </si>
  <si>
    <t>P0002</t>
  </si>
  <si>
    <t>P0003</t>
  </si>
  <si>
    <t>P0004</t>
  </si>
  <si>
    <t>Gangguan Depresi</t>
  </si>
  <si>
    <t>Gangguan Kecemasan</t>
  </si>
  <si>
    <t>Gangguan Somatoform</t>
  </si>
  <si>
    <t>Gangguan Neurotik</t>
  </si>
  <si>
    <t>definisi penyakit</t>
  </si>
  <si>
    <t>solusi penyakit</t>
  </si>
  <si>
    <t>3514100102030001</t>
  </si>
  <si>
    <t>3514100102030002</t>
  </si>
  <si>
    <t>3514100102030003</t>
  </si>
  <si>
    <t>3514100102030004</t>
  </si>
  <si>
    <t>lala</t>
  </si>
  <si>
    <t>adi</t>
  </si>
  <si>
    <t>amir</t>
  </si>
  <si>
    <t>budi</t>
  </si>
  <si>
    <t>081234876098</t>
  </si>
  <si>
    <t>pasien</t>
  </si>
  <si>
    <t>gejala dan kompleksitas</t>
  </si>
  <si>
    <t>Perhitungan</t>
  </si>
  <si>
    <t>hasil</t>
  </si>
  <si>
    <t>Penyakit</t>
  </si>
  <si>
    <t>Gejala dan kompleksitas</t>
  </si>
  <si>
    <t xml:space="preserve">Tabel Sistem Pakar </t>
  </si>
  <si>
    <t>Gangguan Penggunaan Zat</t>
  </si>
  <si>
    <t>Gangguan Kepribadian</t>
  </si>
  <si>
    <t>Gangguan Neurologis</t>
  </si>
  <si>
    <t>Evaluasi</t>
  </si>
  <si>
    <t xml:space="preserve">Input gejala </t>
  </si>
  <si>
    <t>Muchammad Ainul Yaqin</t>
  </si>
  <si>
    <t>Ahmad Saifudin</t>
  </si>
  <si>
    <t>Muhammad Safari</t>
  </si>
  <si>
    <t>Somatoform</t>
  </si>
  <si>
    <t>Mochamad Fahmi</t>
  </si>
  <si>
    <t>Neurotik</t>
  </si>
  <si>
    <t>id kasus</t>
  </si>
  <si>
    <t>bbt dari gjl yg sama</t>
  </si>
  <si>
    <t>total bobot</t>
  </si>
  <si>
    <t>total bbt dari gjl yg sama</t>
  </si>
  <si>
    <t>%</t>
  </si>
  <si>
    <t>Data kasus</t>
  </si>
  <si>
    <t>Memilih gejala yang sama</t>
  </si>
  <si>
    <t>Hitung hasil</t>
  </si>
  <si>
    <t>Gangguan Medis Kronis</t>
  </si>
  <si>
    <t>Hasil diagniosa adalah Somatoform dengan hasil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</si>
</sst>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0" tint="-0.14999847407452621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indexed="64"/>
      </bottom>
      <diagonal/>
    </border>
    <border>
      <left/>
      <right style="thin">
        <color indexed="64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indexed="64"/>
      </bottom>
      <diagonal/>
    </border>
    <border>
      <left/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3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" xfId="0" applyBorder="1"/>
    <xf numFmtId="0" fontId="0" fillId="0" borderId="14" xfId="0" applyBorder="1"/>
    <xf numFmtId="0" fontId="0" fillId="0" borderId="15" xfId="0" applyBorder="1"/>
    <xf numFmtId="0" fontId="0" fillId="0" borderId="6" xfId="0" quotePrefix="1" applyBorder="1"/>
    <xf numFmtId="0" fontId="0" fillId="0" borderId="9" xfId="0" quotePrefix="1" applyBorder="1"/>
    <xf numFmtId="0" fontId="0" fillId="0" borderId="11" xfId="0" quotePrefix="1" applyBorder="1"/>
    <xf numFmtId="0" fontId="0" fillId="0" borderId="12" xfId="0" quotePrefix="1" applyBorder="1"/>
    <xf numFmtId="0" fontId="0" fillId="0" borderId="2" xfId="0" applyBorder="1"/>
    <xf numFmtId="0" fontId="0" fillId="0" borderId="3" xfId="0" applyBorder="1"/>
    <xf numFmtId="0" fontId="3" fillId="3" borderId="18" xfId="0" applyFont="1" applyFill="1" applyBorder="1"/>
    <xf numFmtId="0" fontId="3" fillId="3" borderId="18" xfId="1" applyFont="1" applyFill="1" applyBorder="1"/>
    <xf numFmtId="0" fontId="4" fillId="3" borderId="21" xfId="0" applyFont="1" applyFill="1" applyBorder="1"/>
    <xf numFmtId="0" fontId="4" fillId="3" borderId="1" xfId="0" applyFont="1" applyFill="1" applyBorder="1"/>
    <xf numFmtId="0" fontId="3" fillId="3" borderId="20" xfId="0" applyFont="1" applyFill="1" applyBorder="1"/>
    <xf numFmtId="0" fontId="3" fillId="3" borderId="21" xfId="0" applyFont="1" applyFill="1" applyBorder="1"/>
    <xf numFmtId="0" fontId="4" fillId="3" borderId="17" xfId="0" applyFont="1" applyFill="1" applyBorder="1"/>
    <xf numFmtId="0" fontId="4" fillId="3" borderId="13" xfId="0" applyFont="1" applyFill="1" applyBorder="1"/>
    <xf numFmtId="0" fontId="4" fillId="3" borderId="26" xfId="0" applyFont="1" applyFill="1" applyBorder="1"/>
    <xf numFmtId="0" fontId="4" fillId="3" borderId="27" xfId="0" applyFont="1" applyFill="1" applyBorder="1"/>
    <xf numFmtId="0" fontId="4" fillId="3" borderId="28" xfId="0" applyFont="1" applyFill="1" applyBorder="1"/>
    <xf numFmtId="0" fontId="4" fillId="3" borderId="14" xfId="0" applyFont="1" applyFill="1" applyBorder="1"/>
    <xf numFmtId="0" fontId="4" fillId="3" borderId="29" xfId="0" applyFont="1" applyFill="1" applyBorder="1"/>
    <xf numFmtId="0" fontId="4" fillId="3" borderId="16" xfId="0" applyFont="1" applyFill="1" applyBorder="1"/>
    <xf numFmtId="0" fontId="4" fillId="3" borderId="30" xfId="0" applyFont="1" applyFill="1" applyBorder="1"/>
    <xf numFmtId="0" fontId="4" fillId="3" borderId="31" xfId="0" applyFont="1" applyFill="1" applyBorder="1"/>
    <xf numFmtId="0" fontId="4" fillId="3" borderId="32" xfId="0" applyFont="1" applyFill="1" applyBorder="1"/>
    <xf numFmtId="0" fontId="3" fillId="3" borderId="19" xfId="0" applyFont="1" applyFill="1" applyBorder="1"/>
    <xf numFmtId="0" fontId="3" fillId="3" borderId="19" xfId="1" applyFont="1" applyFill="1" applyBorder="1"/>
    <xf numFmtId="0" fontId="3" fillId="3" borderId="21" xfId="1" applyFont="1" applyFill="1" applyBorder="1"/>
    <xf numFmtId="0" fontId="4" fillId="3" borderId="33" xfId="0" applyFont="1" applyFill="1" applyBorder="1"/>
    <xf numFmtId="0" fontId="4" fillId="3" borderId="31" xfId="1" applyFont="1" applyFill="1" applyBorder="1"/>
    <xf numFmtId="0" fontId="0" fillId="3" borderId="18" xfId="0" applyFill="1" applyBorder="1"/>
    <xf numFmtId="0" fontId="2" fillId="3" borderId="18" xfId="1" applyFill="1" applyBorder="1"/>
    <xf numFmtId="0" fontId="4" fillId="3" borderId="34" xfId="0" applyFont="1" applyFill="1" applyBorder="1"/>
    <xf numFmtId="0" fontId="4" fillId="3" borderId="9" xfId="0" applyFont="1" applyFill="1" applyBorder="1"/>
    <xf numFmtId="0" fontId="3" fillId="3" borderId="24" xfId="0" applyFont="1" applyFill="1" applyBorder="1"/>
    <xf numFmtId="0" fontId="3" fillId="3" borderId="25" xfId="1" applyFont="1" applyFill="1" applyBorder="1"/>
    <xf numFmtId="0" fontId="3" fillId="3" borderId="22" xfId="0" applyFont="1" applyFill="1" applyBorder="1"/>
    <xf numFmtId="0" fontId="3" fillId="3" borderId="23" xfId="0" applyFont="1" applyFill="1" applyBorder="1"/>
    <xf numFmtId="0" fontId="3" fillId="3" borderId="23" xfId="1" applyFont="1" applyFill="1" applyBorder="1"/>
    <xf numFmtId="0" fontId="0" fillId="0" borderId="0" xfId="0" applyBorder="1"/>
    <xf numFmtId="0" fontId="4" fillId="0" borderId="26" xfId="0" applyFont="1" applyBorder="1"/>
    <xf numFmtId="0" fontId="4" fillId="0" borderId="30" xfId="0" applyFont="1" applyBorder="1"/>
    <xf numFmtId="0" fontId="4" fillId="3" borderId="36" xfId="1" applyFont="1" applyFill="1" applyBorder="1"/>
    <xf numFmtId="0" fontId="4" fillId="3" borderId="40" xfId="1" applyFont="1" applyFill="1" applyBorder="1"/>
    <xf numFmtId="0" fontId="4" fillId="3" borderId="8" xfId="1" applyFont="1" applyFill="1" applyBorder="1"/>
    <xf numFmtId="0" fontId="4" fillId="3" borderId="1" xfId="1" applyFont="1" applyFill="1" applyBorder="1"/>
    <xf numFmtId="0" fontId="4" fillId="3" borderId="3" xfId="1" applyFont="1" applyFill="1" applyBorder="1"/>
    <xf numFmtId="0" fontId="4" fillId="3" borderId="11" xfId="1" applyFont="1" applyFill="1" applyBorder="1"/>
    <xf numFmtId="0" fontId="4" fillId="3" borderId="37" xfId="0" applyFont="1" applyFill="1" applyBorder="1"/>
    <xf numFmtId="0" fontId="4" fillId="3" borderId="40" xfId="0" applyFont="1" applyFill="1" applyBorder="1"/>
    <xf numFmtId="0" fontId="4" fillId="3" borderId="37" xfId="1" applyFont="1" applyFill="1" applyBorder="1"/>
    <xf numFmtId="0" fontId="4" fillId="3" borderId="38" xfId="1" applyFont="1" applyFill="1" applyBorder="1"/>
    <xf numFmtId="0" fontId="4" fillId="3" borderId="39" xfId="0" applyFont="1" applyFill="1" applyBorder="1"/>
    <xf numFmtId="0" fontId="4" fillId="3" borderId="39" xfId="1" applyFont="1" applyFill="1" applyBorder="1"/>
    <xf numFmtId="0" fontId="4" fillId="3" borderId="30" xfId="1" applyFont="1" applyFill="1" applyBorder="1"/>
    <xf numFmtId="0" fontId="4" fillId="3" borderId="8" xfId="0" applyFont="1" applyFill="1" applyBorder="1"/>
    <xf numFmtId="0" fontId="4" fillId="3" borderId="3" xfId="0" applyFont="1" applyFill="1" applyBorder="1"/>
    <xf numFmtId="0" fontId="4" fillId="3" borderId="11" xfId="0" applyFont="1" applyFill="1" applyBorder="1"/>
    <xf numFmtId="0" fontId="4" fillId="3" borderId="38" xfId="0" applyFont="1" applyFill="1" applyBorder="1"/>
    <xf numFmtId="0" fontId="4" fillId="3" borderId="13" xfId="1" applyFont="1" applyFill="1" applyBorder="1"/>
    <xf numFmtId="0" fontId="3" fillId="3" borderId="35" xfId="1" applyFont="1" applyFill="1" applyBorder="1"/>
  </cellXfs>
  <cellStyles count="2">
    <cellStyle name="Good" xfId="1" builtinId="26"/>
    <cellStyle name="Normal" xfId="0" builtinId="0"/>
  </cellStyles>
  <dxfs count="3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104"/>
  <sheetViews>
    <sheetView tabSelected="1" topLeftCell="E34" zoomScaleNormal="100" workbookViewId="0">
      <selection activeCell="L58" sqref="L58"/>
    </sheetView>
  </sheetViews>
  <sheetFormatPr defaultRowHeight="15" x14ac:dyDescent="0.25"/>
  <cols>
    <col min="3" max="3" width="3.42578125" customWidth="1"/>
    <col min="4" max="4" width="21.140625" customWidth="1"/>
    <col min="5" max="5" width="70" customWidth="1"/>
    <col min="6" max="6" width="11" customWidth="1"/>
    <col min="7" max="7" width="3.85546875" customWidth="1"/>
    <col min="8" max="8" width="14.7109375" customWidth="1"/>
    <col min="9" max="9" width="7.85546875" customWidth="1"/>
    <col min="10" max="10" width="22.85546875" customWidth="1"/>
    <col min="11" max="11" width="20.140625" customWidth="1"/>
    <col min="12" max="12" width="24.7109375" customWidth="1"/>
    <col min="13" max="13" width="6.140625" customWidth="1"/>
    <col min="14" max="14" width="6.5703125" customWidth="1"/>
    <col min="15" max="15" width="18" customWidth="1"/>
    <col min="16" max="16" width="10.85546875" customWidth="1"/>
    <col min="17" max="17" width="22.7109375" customWidth="1"/>
    <col min="18" max="18" width="5.28515625" customWidth="1"/>
    <col min="19" max="19" width="12.42578125" customWidth="1"/>
    <col min="21" max="21" width="2.7109375" customWidth="1"/>
    <col min="22" max="22" width="17" customWidth="1"/>
    <col min="23" max="23" width="5.42578125" customWidth="1"/>
    <col min="24" max="24" width="5.5703125" customWidth="1"/>
    <col min="25" max="25" width="13.140625" customWidth="1"/>
  </cols>
  <sheetData>
    <row r="1" spans="2:26" x14ac:dyDescent="0.25">
      <c r="B1" t="s">
        <v>83</v>
      </c>
    </row>
    <row r="2" spans="2:26" x14ac:dyDescent="0.25">
      <c r="B2" s="18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"/>
    </row>
    <row r="3" spans="2:26" x14ac:dyDescent="0.25">
      <c r="B3" s="2"/>
      <c r="C3" s="10" t="s">
        <v>0</v>
      </c>
      <c r="D3" s="13"/>
      <c r="E3" s="12"/>
      <c r="G3" s="10" t="s">
        <v>4</v>
      </c>
      <c r="H3" s="13"/>
      <c r="I3" s="12"/>
      <c r="K3" s="10" t="s">
        <v>6</v>
      </c>
      <c r="L3" s="13"/>
      <c r="M3" s="12"/>
      <c r="O3" s="10" t="s">
        <v>8</v>
      </c>
      <c r="P3" s="13"/>
      <c r="Q3" s="13"/>
      <c r="R3" s="13"/>
      <c r="S3" s="12"/>
      <c r="U3" s="10" t="s">
        <v>11</v>
      </c>
      <c r="V3" s="13"/>
      <c r="W3" s="13"/>
      <c r="X3" s="13"/>
      <c r="Y3" s="12"/>
      <c r="Z3" s="3"/>
    </row>
    <row r="4" spans="2:26" x14ac:dyDescent="0.25">
      <c r="B4" s="2"/>
      <c r="C4" s="10" t="s">
        <v>1</v>
      </c>
      <c r="D4" s="11" t="s">
        <v>2</v>
      </c>
      <c r="E4" s="12" t="s">
        <v>3</v>
      </c>
      <c r="G4" s="10" t="s">
        <v>1</v>
      </c>
      <c r="H4" s="11" t="s">
        <v>3</v>
      </c>
      <c r="I4" s="12" t="s">
        <v>5</v>
      </c>
      <c r="K4" s="10" t="s">
        <v>1</v>
      </c>
      <c r="L4" s="11" t="s">
        <v>7</v>
      </c>
      <c r="M4" s="12" t="s">
        <v>5</v>
      </c>
      <c r="O4" s="10" t="s">
        <v>1</v>
      </c>
      <c r="P4" s="11" t="s">
        <v>2</v>
      </c>
      <c r="Q4" s="13" t="s">
        <v>3</v>
      </c>
      <c r="R4" s="11" t="s">
        <v>9</v>
      </c>
      <c r="S4" s="12" t="s">
        <v>10</v>
      </c>
      <c r="U4" s="10" t="s">
        <v>1</v>
      </c>
      <c r="V4" s="11" t="s">
        <v>12</v>
      </c>
      <c r="W4" s="13" t="s">
        <v>3</v>
      </c>
      <c r="X4" s="11" t="s">
        <v>13</v>
      </c>
      <c r="Y4" s="12" t="s">
        <v>14</v>
      </c>
      <c r="Z4" s="3"/>
    </row>
    <row r="5" spans="2:26" x14ac:dyDescent="0.25">
      <c r="B5" s="2"/>
      <c r="C5" s="2">
        <v>1</v>
      </c>
      <c r="D5" s="8" t="s">
        <v>15</v>
      </c>
      <c r="E5" s="3" t="s">
        <v>35</v>
      </c>
      <c r="G5" s="2">
        <v>1</v>
      </c>
      <c r="H5" s="8" t="s">
        <v>55</v>
      </c>
      <c r="I5" s="3">
        <v>1</v>
      </c>
      <c r="K5" s="2">
        <v>1</v>
      </c>
      <c r="L5" s="8" t="s">
        <v>84</v>
      </c>
      <c r="M5" s="3">
        <v>3</v>
      </c>
      <c r="O5" s="2">
        <v>1</v>
      </c>
      <c r="P5" s="8" t="s">
        <v>58</v>
      </c>
      <c r="Q5" t="s">
        <v>62</v>
      </c>
      <c r="R5" s="8" t="s">
        <v>66</v>
      </c>
      <c r="S5" s="3" t="s">
        <v>67</v>
      </c>
      <c r="U5" s="2">
        <v>1</v>
      </c>
      <c r="V5" s="16" t="s">
        <v>68</v>
      </c>
      <c r="W5" t="s">
        <v>72</v>
      </c>
      <c r="X5" s="8">
        <v>20</v>
      </c>
      <c r="Y5" s="14" t="s">
        <v>76</v>
      </c>
      <c r="Z5" s="3"/>
    </row>
    <row r="6" spans="2:26" x14ac:dyDescent="0.25">
      <c r="B6" s="2"/>
      <c r="C6" s="2">
        <v>2</v>
      </c>
      <c r="D6" s="8" t="s">
        <v>16</v>
      </c>
      <c r="E6" s="3" t="s">
        <v>36</v>
      </c>
      <c r="G6" s="2">
        <v>2</v>
      </c>
      <c r="H6" s="8" t="s">
        <v>56</v>
      </c>
      <c r="I6" s="3">
        <v>3</v>
      </c>
      <c r="K6" s="2">
        <v>2</v>
      </c>
      <c r="L6" s="8" t="s">
        <v>103</v>
      </c>
      <c r="M6" s="3">
        <v>5</v>
      </c>
      <c r="O6" s="2">
        <v>2</v>
      </c>
      <c r="P6" s="8" t="s">
        <v>59</v>
      </c>
      <c r="Q6" t="s">
        <v>63</v>
      </c>
      <c r="R6" s="8" t="s">
        <v>66</v>
      </c>
      <c r="S6" s="3" t="s">
        <v>67</v>
      </c>
      <c r="U6" s="2">
        <v>2</v>
      </c>
      <c r="V6" s="16" t="s">
        <v>69</v>
      </c>
      <c r="W6" t="s">
        <v>73</v>
      </c>
      <c r="X6" s="8">
        <v>21</v>
      </c>
      <c r="Y6" s="14" t="s">
        <v>76</v>
      </c>
      <c r="Z6" s="3"/>
    </row>
    <row r="7" spans="2:26" x14ac:dyDescent="0.25">
      <c r="B7" s="2"/>
      <c r="C7" s="2">
        <v>3</v>
      </c>
      <c r="D7" s="8" t="s">
        <v>17</v>
      </c>
      <c r="E7" s="3" t="s">
        <v>37</v>
      </c>
      <c r="G7" s="4">
        <v>3</v>
      </c>
      <c r="H7" s="9" t="s">
        <v>57</v>
      </c>
      <c r="I7" s="6">
        <v>5</v>
      </c>
      <c r="K7" s="2">
        <v>3</v>
      </c>
      <c r="L7" s="8" t="s">
        <v>85</v>
      </c>
      <c r="M7" s="3">
        <v>5</v>
      </c>
      <c r="O7" s="2">
        <v>3</v>
      </c>
      <c r="P7" s="8" t="s">
        <v>60</v>
      </c>
      <c r="Q7" t="s">
        <v>64</v>
      </c>
      <c r="R7" s="8" t="s">
        <v>66</v>
      </c>
      <c r="S7" s="3" t="s">
        <v>67</v>
      </c>
      <c r="U7" s="2">
        <v>3</v>
      </c>
      <c r="V7" s="16" t="s">
        <v>70</v>
      </c>
      <c r="W7" t="s">
        <v>74</v>
      </c>
      <c r="X7" s="8">
        <v>22</v>
      </c>
      <c r="Y7" s="14" t="s">
        <v>76</v>
      </c>
      <c r="Z7" s="3"/>
    </row>
    <row r="8" spans="2:26" x14ac:dyDescent="0.25">
      <c r="B8" s="2"/>
      <c r="C8" s="2">
        <v>4</v>
      </c>
      <c r="D8" s="8" t="s">
        <v>18</v>
      </c>
      <c r="E8" s="3" t="s">
        <v>38</v>
      </c>
      <c r="K8" s="4">
        <v>4</v>
      </c>
      <c r="L8" s="9" t="s">
        <v>86</v>
      </c>
      <c r="M8" s="6">
        <v>3</v>
      </c>
      <c r="O8" s="4">
        <v>4</v>
      </c>
      <c r="P8" s="9" t="s">
        <v>61</v>
      </c>
      <c r="Q8" s="5" t="s">
        <v>65</v>
      </c>
      <c r="R8" s="9" t="s">
        <v>66</v>
      </c>
      <c r="S8" s="6" t="s">
        <v>67</v>
      </c>
      <c r="U8" s="4">
        <v>4</v>
      </c>
      <c r="V8" s="17" t="s">
        <v>71</v>
      </c>
      <c r="W8" s="5" t="s">
        <v>75</v>
      </c>
      <c r="X8" s="9">
        <v>23</v>
      </c>
      <c r="Y8" s="15" t="s">
        <v>76</v>
      </c>
      <c r="Z8" s="3"/>
    </row>
    <row r="9" spans="2:26" x14ac:dyDescent="0.25">
      <c r="B9" s="2"/>
      <c r="C9" s="2">
        <v>5</v>
      </c>
      <c r="D9" s="8" t="s">
        <v>19</v>
      </c>
      <c r="E9" s="3" t="s">
        <v>39</v>
      </c>
      <c r="Z9" s="3"/>
    </row>
    <row r="10" spans="2:26" x14ac:dyDescent="0.25">
      <c r="B10" s="2"/>
      <c r="C10" s="2">
        <v>6</v>
      </c>
      <c r="D10" s="8" t="s">
        <v>20</v>
      </c>
      <c r="E10" s="3" t="s">
        <v>40</v>
      </c>
      <c r="Z10" s="3"/>
    </row>
    <row r="11" spans="2:26" x14ac:dyDescent="0.25">
      <c r="B11" s="2"/>
      <c r="C11" s="2">
        <v>7</v>
      </c>
      <c r="D11" s="8" t="s">
        <v>21</v>
      </c>
      <c r="E11" s="3" t="s">
        <v>41</v>
      </c>
      <c r="Z11" s="3"/>
    </row>
    <row r="12" spans="2:26" x14ac:dyDescent="0.25">
      <c r="B12" s="2"/>
      <c r="C12" s="2">
        <v>8</v>
      </c>
      <c r="D12" s="8" t="s">
        <v>22</v>
      </c>
      <c r="E12" s="3" t="s">
        <v>42</v>
      </c>
      <c r="Z12" s="3"/>
    </row>
    <row r="13" spans="2:26" x14ac:dyDescent="0.25">
      <c r="B13" s="2"/>
      <c r="C13" s="2">
        <v>9</v>
      </c>
      <c r="D13" s="8" t="s">
        <v>23</v>
      </c>
      <c r="E13" s="3" t="s">
        <v>43</v>
      </c>
      <c r="Z13" s="3"/>
    </row>
    <row r="14" spans="2:26" x14ac:dyDescent="0.25">
      <c r="B14" s="2"/>
      <c r="C14" s="2">
        <v>10</v>
      </c>
      <c r="D14" s="8" t="s">
        <v>24</v>
      </c>
      <c r="E14" s="3" t="s">
        <v>44</v>
      </c>
      <c r="Z14" s="3"/>
    </row>
    <row r="15" spans="2:26" x14ac:dyDescent="0.25">
      <c r="B15" s="2"/>
      <c r="C15" s="2">
        <v>11</v>
      </c>
      <c r="D15" s="8" t="s">
        <v>25</v>
      </c>
      <c r="E15" s="3" t="s">
        <v>45</v>
      </c>
      <c r="Z15" s="3"/>
    </row>
    <row r="16" spans="2:26" x14ac:dyDescent="0.25">
      <c r="B16" s="2"/>
      <c r="C16" s="2">
        <v>12</v>
      </c>
      <c r="D16" s="8" t="s">
        <v>26</v>
      </c>
      <c r="E16" s="3" t="s">
        <v>46</v>
      </c>
      <c r="Z16" s="3"/>
    </row>
    <row r="17" spans="2:26" x14ac:dyDescent="0.25">
      <c r="B17" s="2"/>
      <c r="C17" s="2">
        <v>13</v>
      </c>
      <c r="D17" s="8" t="s">
        <v>27</v>
      </c>
      <c r="E17" s="3" t="s">
        <v>47</v>
      </c>
      <c r="Z17" s="3"/>
    </row>
    <row r="18" spans="2:26" x14ac:dyDescent="0.25">
      <c r="B18" s="2"/>
      <c r="C18" s="2">
        <v>14</v>
      </c>
      <c r="D18" s="8" t="s">
        <v>28</v>
      </c>
      <c r="E18" s="3" t="s">
        <v>48</v>
      </c>
      <c r="Z18" s="3"/>
    </row>
    <row r="19" spans="2:26" x14ac:dyDescent="0.25">
      <c r="B19" s="2"/>
      <c r="C19" s="2">
        <v>15</v>
      </c>
      <c r="D19" s="8" t="s">
        <v>29</v>
      </c>
      <c r="E19" s="3" t="s">
        <v>49</v>
      </c>
      <c r="Z19" s="3"/>
    </row>
    <row r="20" spans="2:26" x14ac:dyDescent="0.25">
      <c r="B20" s="2"/>
      <c r="C20" s="2">
        <v>16</v>
      </c>
      <c r="D20" s="8" t="s">
        <v>30</v>
      </c>
      <c r="E20" s="3" t="s">
        <v>50</v>
      </c>
      <c r="Z20" s="3"/>
    </row>
    <row r="21" spans="2:26" x14ac:dyDescent="0.25">
      <c r="B21" s="2"/>
      <c r="C21" s="2">
        <v>17</v>
      </c>
      <c r="D21" s="8" t="s">
        <v>31</v>
      </c>
      <c r="E21" s="3" t="s">
        <v>51</v>
      </c>
      <c r="Z21" s="3"/>
    </row>
    <row r="22" spans="2:26" x14ac:dyDescent="0.25">
      <c r="B22" s="2"/>
      <c r="C22" s="2">
        <v>18</v>
      </c>
      <c r="D22" s="8" t="s">
        <v>32</v>
      </c>
      <c r="E22" s="3" t="s">
        <v>52</v>
      </c>
      <c r="Z22" s="3"/>
    </row>
    <row r="23" spans="2:26" x14ac:dyDescent="0.25">
      <c r="B23" s="2"/>
      <c r="C23" s="2">
        <v>19</v>
      </c>
      <c r="D23" s="8" t="s">
        <v>33</v>
      </c>
      <c r="E23" s="3" t="s">
        <v>53</v>
      </c>
      <c r="Z23" s="3"/>
    </row>
    <row r="24" spans="2:26" x14ac:dyDescent="0.25">
      <c r="B24" s="2"/>
      <c r="C24" s="4">
        <v>20</v>
      </c>
      <c r="D24" s="9" t="s">
        <v>34</v>
      </c>
      <c r="E24" s="6" t="s">
        <v>54</v>
      </c>
      <c r="Z24" s="3"/>
    </row>
    <row r="25" spans="2:26" x14ac:dyDescent="0.25"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</row>
    <row r="27" spans="2:26" x14ac:dyDescent="0.25">
      <c r="B27" s="18"/>
      <c r="C27" s="48"/>
      <c r="D27" s="48"/>
      <c r="E27" s="48"/>
      <c r="F27" s="48"/>
      <c r="G27" s="48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"/>
    </row>
    <row r="28" spans="2:26" x14ac:dyDescent="0.25">
      <c r="B28" s="2"/>
      <c r="C28" t="s">
        <v>87</v>
      </c>
      <c r="D28" s="24"/>
      <c r="E28" s="24"/>
      <c r="F28" s="24"/>
      <c r="G28" s="20"/>
      <c r="I28" t="s">
        <v>79</v>
      </c>
      <c r="S28" s="3"/>
    </row>
    <row r="29" spans="2:26" x14ac:dyDescent="0.25">
      <c r="B29" s="2"/>
      <c r="C29" s="26" t="s">
        <v>88</v>
      </c>
      <c r="D29" s="46"/>
      <c r="E29" s="46"/>
      <c r="F29" s="47"/>
      <c r="G29" s="38"/>
      <c r="I29" s="10" t="s">
        <v>100</v>
      </c>
      <c r="J29" s="13"/>
      <c r="K29" s="13"/>
      <c r="L29" s="12"/>
      <c r="M29" s="10" t="s">
        <v>101</v>
      </c>
      <c r="N29" s="13"/>
      <c r="O29" s="12"/>
      <c r="P29" s="10" t="s">
        <v>102</v>
      </c>
      <c r="Q29" s="13"/>
      <c r="R29" s="12"/>
      <c r="S29" s="3"/>
    </row>
    <row r="30" spans="2:26" x14ac:dyDescent="0.25">
      <c r="B30" s="2"/>
      <c r="C30" s="27" t="s">
        <v>1</v>
      </c>
      <c r="D30" s="23" t="s">
        <v>81</v>
      </c>
      <c r="E30" s="31" t="s">
        <v>82</v>
      </c>
      <c r="F30" s="23" t="s">
        <v>1</v>
      </c>
      <c r="G30" s="37"/>
      <c r="I30" s="10" t="s">
        <v>95</v>
      </c>
      <c r="J30" s="11" t="s">
        <v>77</v>
      </c>
      <c r="K30" s="13" t="s">
        <v>81</v>
      </c>
      <c r="L30" s="11" t="s">
        <v>78</v>
      </c>
      <c r="M30" s="7" t="s">
        <v>1</v>
      </c>
      <c r="N30" s="13" t="s">
        <v>5</v>
      </c>
      <c r="O30" s="7" t="s">
        <v>96</v>
      </c>
      <c r="P30" s="11" t="s">
        <v>97</v>
      </c>
      <c r="Q30" s="11" t="s">
        <v>98</v>
      </c>
      <c r="R30" s="11" t="s">
        <v>80</v>
      </c>
      <c r="S30" s="3"/>
    </row>
    <row r="31" spans="2:26" x14ac:dyDescent="0.25">
      <c r="B31" s="2"/>
      <c r="C31" s="28">
        <v>1</v>
      </c>
      <c r="D31" s="34" t="s">
        <v>62</v>
      </c>
      <c r="E31" s="32" t="s">
        <v>36</v>
      </c>
      <c r="F31" s="40">
        <v>2</v>
      </c>
      <c r="G31" s="37"/>
      <c r="I31" s="18">
        <v>1</v>
      </c>
      <c r="J31" s="7" t="s">
        <v>89</v>
      </c>
      <c r="K31" s="19" t="s">
        <v>63</v>
      </c>
      <c r="L31" s="7" t="s">
        <v>35</v>
      </c>
      <c r="M31" s="7">
        <v>1</v>
      </c>
      <c r="N31" s="18">
        <v>5</v>
      </c>
      <c r="O31" s="7">
        <f>IF(COUNTIF($F$31:$F$38,M31)=0,M31*0,M31*1)</f>
        <v>0</v>
      </c>
      <c r="P31" s="19">
        <f>SUM(N31:N37)</f>
        <v>31</v>
      </c>
      <c r="Q31" s="7">
        <f>SUM(O31:O37)</f>
        <v>5</v>
      </c>
      <c r="R31" s="1">
        <f>Q31/P31</f>
        <v>0.16129032258064516</v>
      </c>
      <c r="S31" s="3"/>
    </row>
    <row r="32" spans="2:26" x14ac:dyDescent="0.25">
      <c r="B32" s="2"/>
      <c r="C32" s="29"/>
      <c r="D32" s="35"/>
      <c r="E32" s="33" t="s">
        <v>43</v>
      </c>
      <c r="F32" s="41">
        <v>9</v>
      </c>
      <c r="G32" s="38"/>
      <c r="I32" s="2"/>
      <c r="J32" s="8"/>
      <c r="L32" s="8" t="s">
        <v>37</v>
      </c>
      <c r="M32" s="8">
        <v>3</v>
      </c>
      <c r="N32" s="2">
        <v>3</v>
      </c>
      <c r="O32" s="8">
        <f t="shared" ref="O32:O36" si="0">IF(COUNTIF($F$31:$F$38,M32)=0,M32*0,M32*1)</f>
        <v>0</v>
      </c>
      <c r="P32" s="51"/>
      <c r="Q32" s="8"/>
      <c r="R32" s="3"/>
      <c r="S32" s="3"/>
    </row>
    <row r="33" spans="2:19" x14ac:dyDescent="0.25">
      <c r="B33" s="2"/>
      <c r="C33" s="29"/>
      <c r="D33" s="35"/>
      <c r="E33" s="33" t="s">
        <v>44</v>
      </c>
      <c r="F33" s="41">
        <v>10</v>
      </c>
      <c r="G33" s="38"/>
      <c r="I33" s="2"/>
      <c r="J33" s="8"/>
      <c r="L33" s="8" t="s">
        <v>39</v>
      </c>
      <c r="M33" s="8">
        <v>5</v>
      </c>
      <c r="N33" s="2">
        <v>5</v>
      </c>
      <c r="O33" s="8">
        <f t="shared" si="0"/>
        <v>0</v>
      </c>
      <c r="P33" s="51"/>
      <c r="Q33" s="8"/>
      <c r="R33" s="3"/>
      <c r="S33" s="3"/>
    </row>
    <row r="34" spans="2:19" x14ac:dyDescent="0.25">
      <c r="B34" s="2"/>
      <c r="C34" s="29"/>
      <c r="D34" s="35"/>
      <c r="E34" s="33" t="s">
        <v>48</v>
      </c>
      <c r="F34" s="35">
        <v>14</v>
      </c>
      <c r="G34" s="37"/>
      <c r="I34" s="2"/>
      <c r="J34" s="8"/>
      <c r="L34" s="8" t="s">
        <v>45</v>
      </c>
      <c r="M34" s="8">
        <v>11</v>
      </c>
      <c r="N34" s="2">
        <v>5</v>
      </c>
      <c r="O34" s="8">
        <f t="shared" si="0"/>
        <v>0</v>
      </c>
      <c r="P34" s="51"/>
      <c r="Q34" s="8"/>
      <c r="R34" s="3"/>
      <c r="S34" s="3"/>
    </row>
    <row r="35" spans="2:19" x14ac:dyDescent="0.25">
      <c r="B35" s="2"/>
      <c r="C35" s="29"/>
      <c r="D35" s="35"/>
      <c r="E35" s="3" t="s">
        <v>50</v>
      </c>
      <c r="F35" s="35">
        <v>16</v>
      </c>
      <c r="G35" s="37"/>
      <c r="I35" s="2"/>
      <c r="J35" s="8"/>
      <c r="L35" s="8" t="s">
        <v>52</v>
      </c>
      <c r="M35" s="8">
        <v>18</v>
      </c>
      <c r="N35" s="52">
        <v>5</v>
      </c>
      <c r="O35" s="53">
        <f t="shared" si="0"/>
        <v>0</v>
      </c>
      <c r="P35" s="51"/>
      <c r="Q35" s="8"/>
      <c r="R35" s="3"/>
      <c r="S35" s="3"/>
    </row>
    <row r="36" spans="2:19" x14ac:dyDescent="0.25">
      <c r="B36" s="2"/>
      <c r="C36" s="29"/>
      <c r="D36" s="29"/>
      <c r="E36" s="44" t="s">
        <v>41</v>
      </c>
      <c r="F36" s="41">
        <v>7</v>
      </c>
      <c r="G36" s="38"/>
      <c r="I36" s="2"/>
      <c r="J36" s="8"/>
      <c r="L36" s="9" t="s">
        <v>54</v>
      </c>
      <c r="M36" s="9">
        <v>20</v>
      </c>
      <c r="N36" s="54">
        <v>5</v>
      </c>
      <c r="O36" s="55">
        <f>IF(COUNTIF($F$31:$F$38,M36)=0,N36*0,N36*1)</f>
        <v>5</v>
      </c>
      <c r="P36" s="51"/>
      <c r="Q36" s="8"/>
      <c r="R36" s="3"/>
      <c r="S36" s="3"/>
    </row>
    <row r="37" spans="2:19" x14ac:dyDescent="0.25">
      <c r="B37" s="2"/>
      <c r="C37" s="29"/>
      <c r="D37" s="35"/>
      <c r="E37" s="32" t="s">
        <v>53</v>
      </c>
      <c r="F37" s="35">
        <v>19</v>
      </c>
      <c r="G37" s="37"/>
      <c r="I37" s="4"/>
      <c r="J37" s="9"/>
      <c r="K37" s="5"/>
      <c r="L37" s="9" t="s">
        <v>84</v>
      </c>
      <c r="M37" s="9">
        <v>1</v>
      </c>
      <c r="N37" s="56">
        <v>3</v>
      </c>
      <c r="O37" s="57">
        <f>IF(COUNTIF($F$39,M37)=0,N37*0,N37*1)</f>
        <v>0</v>
      </c>
      <c r="P37" s="51"/>
      <c r="Q37" s="8"/>
      <c r="R37" s="3"/>
      <c r="S37" s="3"/>
    </row>
    <row r="38" spans="2:19" x14ac:dyDescent="0.25">
      <c r="B38" s="2"/>
      <c r="C38" s="29"/>
      <c r="D38" s="35"/>
      <c r="E38" s="61" t="s">
        <v>54</v>
      </c>
      <c r="F38" s="36">
        <v>20</v>
      </c>
      <c r="G38" s="37"/>
      <c r="I38" s="18">
        <v>2</v>
      </c>
      <c r="J38" s="7" t="s">
        <v>90</v>
      </c>
      <c r="K38" s="19" t="s">
        <v>62</v>
      </c>
      <c r="L38" s="7" t="s">
        <v>36</v>
      </c>
      <c r="M38" s="8">
        <v>2</v>
      </c>
      <c r="N38" s="58">
        <v>3</v>
      </c>
      <c r="O38" s="59">
        <f>IF(COUNTIF($F$31:$F$38,M38)=0,N38*0,N38*1)</f>
        <v>3</v>
      </c>
      <c r="P38" s="19">
        <f>SUM(N38:N46)</f>
        <v>41</v>
      </c>
      <c r="Q38" s="7">
        <f>SUM(O38:O46)</f>
        <v>23</v>
      </c>
      <c r="R38" s="1">
        <f t="shared" ref="R38:R52" si="1">Q38/P38</f>
        <v>0.56097560975609762</v>
      </c>
      <c r="S38" s="3"/>
    </row>
    <row r="39" spans="2:19" x14ac:dyDescent="0.25">
      <c r="B39" s="2"/>
      <c r="C39" s="30"/>
      <c r="D39" s="30"/>
      <c r="E39" s="11" t="s">
        <v>85</v>
      </c>
      <c r="F39" s="45">
        <v>3</v>
      </c>
      <c r="G39" s="37"/>
      <c r="I39" s="2"/>
      <c r="J39" s="8"/>
      <c r="L39" s="8" t="s">
        <v>37</v>
      </c>
      <c r="M39" s="8">
        <v>3</v>
      </c>
      <c r="N39" s="60">
        <v>3</v>
      </c>
      <c r="O39" s="61">
        <f t="shared" ref="O39:O45" si="2">IF(COUNTIF($F$31:$F$38,M39)=0,N39*0,N39*1)</f>
        <v>0</v>
      </c>
      <c r="P39" s="51"/>
      <c r="Q39" s="8"/>
      <c r="R39" s="3"/>
      <c r="S39" s="3"/>
    </row>
    <row r="40" spans="2:19" x14ac:dyDescent="0.25">
      <c r="B40" s="2"/>
      <c r="C40" s="22"/>
      <c r="D40" s="22"/>
      <c r="E40" s="22"/>
      <c r="F40" s="22"/>
      <c r="G40" s="37"/>
      <c r="I40" s="2"/>
      <c r="J40" s="8"/>
      <c r="L40" s="8" t="s">
        <v>43</v>
      </c>
      <c r="M40" s="8">
        <v>9</v>
      </c>
      <c r="N40" s="62">
        <v>5</v>
      </c>
      <c r="O40" s="55">
        <f t="shared" si="2"/>
        <v>5</v>
      </c>
      <c r="P40" s="51"/>
      <c r="Q40" s="8"/>
      <c r="R40" s="3"/>
      <c r="S40" s="3"/>
    </row>
    <row r="41" spans="2:19" x14ac:dyDescent="0.25">
      <c r="B41" s="2"/>
      <c r="C41" s="25"/>
      <c r="D41" s="25"/>
      <c r="E41" s="25"/>
      <c r="F41" s="39"/>
      <c r="G41" s="21"/>
      <c r="I41" s="2"/>
      <c r="J41" s="8"/>
      <c r="L41" s="8" t="s">
        <v>44</v>
      </c>
      <c r="M41" s="8">
        <v>10</v>
      </c>
      <c r="N41" s="63">
        <v>5</v>
      </c>
      <c r="O41" s="41">
        <f t="shared" si="2"/>
        <v>5</v>
      </c>
      <c r="P41" s="51"/>
      <c r="Q41" s="8"/>
      <c r="R41" s="3"/>
      <c r="S41" s="3"/>
    </row>
    <row r="42" spans="2:19" x14ac:dyDescent="0.25">
      <c r="B42" s="2"/>
      <c r="C42" s="20"/>
      <c r="D42" s="20"/>
      <c r="E42" s="20"/>
      <c r="F42" s="21"/>
      <c r="G42" s="21"/>
      <c r="I42" s="2"/>
      <c r="J42" s="8"/>
      <c r="L42" s="8" t="s">
        <v>45</v>
      </c>
      <c r="M42" s="8">
        <v>11</v>
      </c>
      <c r="N42" s="64">
        <v>5</v>
      </c>
      <c r="O42" s="34">
        <f t="shared" si="2"/>
        <v>0</v>
      </c>
      <c r="P42" s="51"/>
      <c r="Q42" s="8"/>
      <c r="R42" s="3"/>
      <c r="S42" s="3"/>
    </row>
    <row r="43" spans="2:19" x14ac:dyDescent="0.25">
      <c r="B43" s="2"/>
      <c r="C43" s="20"/>
      <c r="D43" s="20"/>
      <c r="E43" s="20"/>
      <c r="F43" s="21"/>
      <c r="G43" s="72"/>
      <c r="H43" s="3"/>
      <c r="J43" s="8"/>
      <c r="L43" s="8" t="s">
        <v>50</v>
      </c>
      <c r="M43" s="8">
        <v>16</v>
      </c>
      <c r="N43" s="65">
        <v>5</v>
      </c>
      <c r="O43" s="66">
        <f t="shared" si="2"/>
        <v>5</v>
      </c>
      <c r="P43" s="51"/>
      <c r="Q43" s="8"/>
      <c r="R43" s="3"/>
      <c r="S43" s="3"/>
    </row>
    <row r="44" spans="2:19" x14ac:dyDescent="0.25">
      <c r="B44" s="2"/>
      <c r="C44" s="20"/>
      <c r="D44" s="20"/>
      <c r="E44" s="20"/>
      <c r="F44" s="20"/>
      <c r="G44" s="20"/>
      <c r="I44" s="2"/>
      <c r="J44" s="8"/>
      <c r="L44" s="8" t="s">
        <v>52</v>
      </c>
      <c r="M44" s="8">
        <v>18</v>
      </c>
      <c r="N44" s="64">
        <v>5</v>
      </c>
      <c r="O44" s="34">
        <f t="shared" si="2"/>
        <v>0</v>
      </c>
      <c r="P44" s="51"/>
      <c r="Q44" s="8"/>
      <c r="R44" s="3"/>
      <c r="S44" s="3"/>
    </row>
    <row r="45" spans="2:19" x14ac:dyDescent="0.25">
      <c r="B45" s="2"/>
      <c r="C45" s="20"/>
      <c r="D45" s="20"/>
      <c r="E45" s="20"/>
      <c r="F45" s="20"/>
      <c r="G45" s="20"/>
      <c r="I45" s="2"/>
      <c r="J45" s="8"/>
      <c r="L45" s="9" t="s">
        <v>54</v>
      </c>
      <c r="M45" s="9">
        <v>20</v>
      </c>
      <c r="N45" s="56">
        <v>5</v>
      </c>
      <c r="O45" s="59">
        <f>IF(COUNTIF($F$31:$F$38,M45)=0,N45*0,N45*1)</f>
        <v>5</v>
      </c>
      <c r="P45" s="51"/>
      <c r="Q45" s="8"/>
      <c r="R45" s="3"/>
      <c r="S45" s="3"/>
    </row>
    <row r="46" spans="2:19" x14ac:dyDescent="0.25">
      <c r="B46" s="2"/>
      <c r="C46" s="20"/>
      <c r="D46" s="20"/>
      <c r="E46" s="20"/>
      <c r="F46" s="21"/>
      <c r="G46" s="21"/>
      <c r="I46" s="4"/>
      <c r="J46" s="9"/>
      <c r="K46" s="5"/>
      <c r="L46" s="9" t="s">
        <v>103</v>
      </c>
      <c r="M46" s="8">
        <v>2</v>
      </c>
      <c r="N46" s="67">
        <v>5</v>
      </c>
      <c r="O46" s="23">
        <f>IF(COUNTIF($F$39,M46)=0,N46*0,N46*1)</f>
        <v>0</v>
      </c>
      <c r="P46" s="5"/>
      <c r="Q46" s="9"/>
      <c r="R46" s="6"/>
      <c r="S46" s="3"/>
    </row>
    <row r="47" spans="2:19" x14ac:dyDescent="0.25">
      <c r="B47" s="2"/>
      <c r="C47" s="20"/>
      <c r="D47" s="20"/>
      <c r="E47" s="20"/>
      <c r="F47" s="20"/>
      <c r="G47" s="20"/>
      <c r="I47" s="18">
        <v>3</v>
      </c>
      <c r="J47" s="7" t="s">
        <v>91</v>
      </c>
      <c r="K47" s="19" t="s">
        <v>92</v>
      </c>
      <c r="L47" s="7" t="s">
        <v>35</v>
      </c>
      <c r="M47" s="7">
        <v>1</v>
      </c>
      <c r="N47" s="68">
        <v>5</v>
      </c>
      <c r="O47" s="69">
        <f>IF(COUNTIF($F$31:$F$38,M47)=0,N47*0,N47*1)</f>
        <v>0</v>
      </c>
      <c r="P47" s="51">
        <f>SUM(N47:N51)</f>
        <v>21</v>
      </c>
      <c r="Q47" s="8">
        <f>SUM(O47:O51)</f>
        <v>13</v>
      </c>
      <c r="R47" s="3">
        <f t="shared" si="1"/>
        <v>0.61904761904761907</v>
      </c>
      <c r="S47" s="3"/>
    </row>
    <row r="48" spans="2:19" x14ac:dyDescent="0.25">
      <c r="B48" s="2"/>
      <c r="C48" s="20"/>
      <c r="D48" s="20"/>
      <c r="E48" s="20"/>
      <c r="F48" s="21"/>
      <c r="G48" s="21"/>
      <c r="I48" s="2"/>
      <c r="J48" s="8"/>
      <c r="L48" s="8" t="s">
        <v>37</v>
      </c>
      <c r="M48" s="8">
        <v>3</v>
      </c>
      <c r="N48" s="70">
        <v>3</v>
      </c>
      <c r="O48" s="35">
        <f t="shared" ref="O48:O50" si="3">IF(COUNTIF($F$31:$F$38,M48)=0,N48*0,N48*1)</f>
        <v>0</v>
      </c>
      <c r="P48" s="51"/>
      <c r="Q48" s="8"/>
      <c r="R48" s="3"/>
      <c r="S48" s="3"/>
    </row>
    <row r="49" spans="2:19" x14ac:dyDescent="0.25">
      <c r="B49" s="2"/>
      <c r="C49" s="20"/>
      <c r="D49" s="20"/>
      <c r="E49" s="20"/>
      <c r="F49" s="21"/>
      <c r="G49" s="21"/>
      <c r="I49" s="2"/>
      <c r="J49" s="8"/>
      <c r="L49" s="8" t="s">
        <v>41</v>
      </c>
      <c r="M49" s="8">
        <v>7</v>
      </c>
      <c r="N49" s="65">
        <v>3</v>
      </c>
      <c r="O49" s="66">
        <f t="shared" si="3"/>
        <v>3</v>
      </c>
      <c r="P49" s="51"/>
      <c r="Q49" s="8"/>
      <c r="R49" s="3"/>
      <c r="S49" s="3"/>
    </row>
    <row r="50" spans="2:19" x14ac:dyDescent="0.25">
      <c r="B50" s="2"/>
      <c r="C50" s="20"/>
      <c r="D50" s="20"/>
      <c r="E50" s="20"/>
      <c r="F50" s="20"/>
      <c r="G50" s="20"/>
      <c r="I50" s="2"/>
      <c r="J50" s="8"/>
      <c r="L50" s="9" t="s">
        <v>53</v>
      </c>
      <c r="M50" s="9">
        <v>19</v>
      </c>
      <c r="N50" s="56">
        <v>5</v>
      </c>
      <c r="O50" s="59">
        <f>IF(COUNTIF($F$31:$F$38,M50)=0,N50*0,N50*1)</f>
        <v>5</v>
      </c>
      <c r="P50" s="51"/>
      <c r="Q50" s="8"/>
      <c r="R50" s="3"/>
      <c r="S50" s="3"/>
    </row>
    <row r="51" spans="2:19" x14ac:dyDescent="0.25">
      <c r="B51" s="2"/>
      <c r="C51" s="20"/>
      <c r="D51" s="20"/>
      <c r="E51" s="20"/>
      <c r="F51" s="21"/>
      <c r="G51" s="21"/>
      <c r="I51" s="4"/>
      <c r="J51" s="9"/>
      <c r="K51" s="5"/>
      <c r="L51" s="9" t="s">
        <v>85</v>
      </c>
      <c r="M51" s="9">
        <v>3</v>
      </c>
      <c r="N51" s="27">
        <v>5</v>
      </c>
      <c r="O51" s="23">
        <f>IF(COUNTIF($F$39,M51)=0,N51*0,N51*1)</f>
        <v>5</v>
      </c>
      <c r="P51" s="51"/>
      <c r="Q51" s="8"/>
      <c r="R51" s="3"/>
      <c r="S51" s="3"/>
    </row>
    <row r="52" spans="2:19" x14ac:dyDescent="0.25">
      <c r="B52" s="2"/>
      <c r="C52" s="20"/>
      <c r="D52" s="20"/>
      <c r="E52" s="20"/>
      <c r="F52" s="21"/>
      <c r="G52" s="21"/>
      <c r="I52" s="2">
        <v>4</v>
      </c>
      <c r="J52" s="8" t="s">
        <v>93</v>
      </c>
      <c r="K52" t="s">
        <v>94</v>
      </c>
      <c r="L52" s="8" t="s">
        <v>37</v>
      </c>
      <c r="M52" s="8">
        <v>3</v>
      </c>
      <c r="N52" s="64">
        <v>5</v>
      </c>
      <c r="O52" s="34">
        <f>IF(COUNTIF($F$31:$F$38,M52)=0,N52*0,N52*1)</f>
        <v>0</v>
      </c>
      <c r="P52" s="19">
        <f>SUM(N52:N56)</f>
        <v>23</v>
      </c>
      <c r="Q52" s="7">
        <f>SUM(O52:O56)</f>
        <v>5</v>
      </c>
      <c r="R52" s="1">
        <f t="shared" si="1"/>
        <v>0.21739130434782608</v>
      </c>
      <c r="S52" s="3"/>
    </row>
    <row r="53" spans="2:19" x14ac:dyDescent="0.25">
      <c r="B53" s="2"/>
      <c r="C53" s="20"/>
      <c r="D53" s="20"/>
      <c r="E53" s="20"/>
      <c r="F53" s="21"/>
      <c r="G53" s="21"/>
      <c r="I53" s="2"/>
      <c r="J53" s="8"/>
      <c r="L53" s="8" t="s">
        <v>42</v>
      </c>
      <c r="M53" s="8">
        <v>8</v>
      </c>
      <c r="N53" s="64">
        <v>5</v>
      </c>
      <c r="O53" s="34">
        <f t="shared" ref="O53:O55" si="4">IF(COUNTIF($F$31:$F$38,M53)=0,N53*0,N53*1)</f>
        <v>0</v>
      </c>
      <c r="P53" s="51"/>
      <c r="Q53" s="8"/>
      <c r="R53" s="3"/>
      <c r="S53" s="3"/>
    </row>
    <row r="54" spans="2:19" x14ac:dyDescent="0.25">
      <c r="B54" s="2"/>
      <c r="C54" s="20"/>
      <c r="D54" s="20"/>
      <c r="E54" s="20"/>
      <c r="F54" s="21"/>
      <c r="G54" s="21"/>
      <c r="I54" s="2"/>
      <c r="J54" s="8"/>
      <c r="L54" s="8" t="s">
        <v>47</v>
      </c>
      <c r="M54" s="8">
        <v>13</v>
      </c>
      <c r="N54" s="64">
        <v>5</v>
      </c>
      <c r="O54" s="34">
        <f t="shared" si="4"/>
        <v>0</v>
      </c>
      <c r="P54" s="51"/>
      <c r="Q54" s="8"/>
      <c r="R54" s="3"/>
      <c r="S54" s="3"/>
    </row>
    <row r="55" spans="2:19" x14ac:dyDescent="0.25">
      <c r="B55" s="2"/>
      <c r="C55" s="20"/>
      <c r="D55" s="20"/>
      <c r="E55" s="20"/>
      <c r="F55" s="20"/>
      <c r="G55" s="20"/>
      <c r="I55" s="2"/>
      <c r="J55" s="8"/>
      <c r="L55" s="9" t="s">
        <v>54</v>
      </c>
      <c r="M55" s="9">
        <v>20</v>
      </c>
      <c r="N55" s="56">
        <v>5</v>
      </c>
      <c r="O55" s="59">
        <f t="shared" si="4"/>
        <v>5</v>
      </c>
      <c r="P55" s="51"/>
      <c r="Q55" s="8"/>
      <c r="R55" s="3"/>
      <c r="S55" s="3"/>
    </row>
    <row r="56" spans="2:19" x14ac:dyDescent="0.25">
      <c r="B56" s="2"/>
      <c r="C56" s="20"/>
      <c r="D56" s="20"/>
      <c r="E56" s="20"/>
      <c r="F56" s="20"/>
      <c r="G56" s="20"/>
      <c r="I56" s="4"/>
      <c r="J56" s="9"/>
      <c r="K56" s="5"/>
      <c r="L56" s="9" t="s">
        <v>86</v>
      </c>
      <c r="M56" s="9">
        <v>4</v>
      </c>
      <c r="N56" s="71">
        <v>3</v>
      </c>
      <c r="O56" s="57">
        <f>IF(COUNTIF($F$39,M56)=0,N56*0,N56*1)</f>
        <v>0</v>
      </c>
      <c r="P56" s="5"/>
      <c r="Q56" s="9"/>
      <c r="R56" s="6"/>
      <c r="S56" s="3"/>
    </row>
    <row r="57" spans="2:19" x14ac:dyDescent="0.25">
      <c r="B57" s="2"/>
      <c r="C57" s="20"/>
      <c r="D57" s="20"/>
      <c r="E57" s="20"/>
      <c r="F57" s="20"/>
      <c r="G57" s="20"/>
      <c r="S57" s="3"/>
    </row>
    <row r="58" spans="2:19" x14ac:dyDescent="0.25">
      <c r="B58" s="2"/>
      <c r="C58" s="20"/>
      <c r="D58" s="20"/>
      <c r="E58" s="20"/>
      <c r="F58" s="20"/>
      <c r="G58" s="20"/>
      <c r="J58" t="s">
        <v>104</v>
      </c>
      <c r="L58">
        <f>MAX(R31:R56)</f>
        <v>0.61904761904761907</v>
      </c>
      <c r="M58" t="s">
        <v>99</v>
      </c>
      <c r="S58" s="3"/>
    </row>
    <row r="59" spans="2:19" x14ac:dyDescent="0.25">
      <c r="B59" s="4"/>
      <c r="C59" s="49"/>
      <c r="D59" s="49"/>
      <c r="E59" s="49"/>
      <c r="F59" s="50"/>
      <c r="G59" s="50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6"/>
    </row>
    <row r="60" spans="2:19" x14ac:dyDescent="0.25">
      <c r="C60" s="25"/>
      <c r="D60" s="25"/>
      <c r="E60" s="25"/>
      <c r="F60" s="39"/>
      <c r="G60" s="39"/>
    </row>
    <row r="61" spans="2:19" x14ac:dyDescent="0.25">
      <c r="C61" s="20"/>
      <c r="D61" s="20"/>
      <c r="E61" s="20"/>
      <c r="F61" s="21"/>
      <c r="G61" s="21"/>
    </row>
    <row r="63" spans="2:19" x14ac:dyDescent="0.25">
      <c r="C63" s="42"/>
      <c r="D63" s="42"/>
      <c r="E63" s="42"/>
      <c r="F63" s="42"/>
      <c r="G63" s="42"/>
      <c r="H63" s="42"/>
    </row>
    <row r="64" spans="2:19" x14ac:dyDescent="0.25">
      <c r="C64" s="42"/>
      <c r="D64" s="42"/>
      <c r="E64" s="42"/>
      <c r="F64" s="42"/>
      <c r="G64" s="42"/>
      <c r="H64" s="42"/>
    </row>
    <row r="65" spans="3:8" x14ac:dyDescent="0.25">
      <c r="C65" s="42"/>
      <c r="D65" s="42"/>
      <c r="E65" s="42"/>
      <c r="F65" s="42"/>
      <c r="G65" s="43"/>
      <c r="H65" s="43"/>
    </row>
    <row r="66" spans="3:8" x14ac:dyDescent="0.25">
      <c r="C66" s="42"/>
      <c r="D66" s="42"/>
      <c r="E66" s="42"/>
      <c r="F66" s="42"/>
      <c r="G66" s="43"/>
      <c r="H66" s="43"/>
    </row>
    <row r="67" spans="3:8" x14ac:dyDescent="0.25">
      <c r="C67" s="42"/>
      <c r="D67" s="42"/>
      <c r="E67" s="42"/>
      <c r="F67" s="42"/>
      <c r="G67" s="43"/>
      <c r="H67" s="43"/>
    </row>
    <row r="68" spans="3:8" x14ac:dyDescent="0.25">
      <c r="C68" s="42"/>
      <c r="D68" s="42"/>
      <c r="E68" s="42"/>
      <c r="F68" s="42"/>
      <c r="G68" s="43"/>
      <c r="H68" s="43"/>
    </row>
    <row r="69" spans="3:8" x14ac:dyDescent="0.25">
      <c r="C69" s="42"/>
      <c r="D69" s="42"/>
      <c r="E69" s="42"/>
      <c r="F69" s="42"/>
      <c r="G69" s="42"/>
      <c r="H69" s="42"/>
    </row>
    <row r="70" spans="3:8" x14ac:dyDescent="0.25">
      <c r="C70" s="42"/>
      <c r="D70" s="42"/>
      <c r="E70" s="42"/>
      <c r="F70" s="42"/>
      <c r="G70" s="42"/>
      <c r="H70" s="42"/>
    </row>
    <row r="71" spans="3:8" x14ac:dyDescent="0.25">
      <c r="C71" s="42"/>
      <c r="D71" s="42"/>
      <c r="E71" s="42"/>
      <c r="F71" s="42"/>
      <c r="G71" s="42"/>
      <c r="H71" s="42"/>
    </row>
    <row r="72" spans="3:8" x14ac:dyDescent="0.25">
      <c r="C72" s="42"/>
      <c r="D72" s="42"/>
      <c r="E72" s="42"/>
      <c r="F72" s="42"/>
      <c r="G72" s="43"/>
      <c r="H72" s="43"/>
    </row>
    <row r="73" spans="3:8" x14ac:dyDescent="0.25">
      <c r="C73" s="42"/>
      <c r="D73" s="42"/>
      <c r="E73" s="42"/>
      <c r="F73" s="42"/>
      <c r="G73" s="43"/>
      <c r="H73" s="43"/>
    </row>
    <row r="74" spans="3:8" x14ac:dyDescent="0.25">
      <c r="C74" s="42"/>
      <c r="D74" s="42"/>
      <c r="E74" s="42"/>
      <c r="F74" s="42"/>
      <c r="G74" s="43"/>
      <c r="H74" s="43"/>
    </row>
    <row r="75" spans="3:8" x14ac:dyDescent="0.25">
      <c r="C75" s="42"/>
      <c r="D75" s="42"/>
      <c r="E75" s="42"/>
      <c r="F75" s="42"/>
      <c r="G75" s="42"/>
      <c r="H75" s="42"/>
    </row>
    <row r="76" spans="3:8" x14ac:dyDescent="0.25">
      <c r="C76" s="42"/>
      <c r="D76" s="42"/>
      <c r="E76" s="42"/>
      <c r="F76" s="42"/>
      <c r="G76" s="42"/>
      <c r="H76" s="42"/>
    </row>
    <row r="77" spans="3:8" x14ac:dyDescent="0.25">
      <c r="C77" s="42"/>
      <c r="D77" s="42"/>
      <c r="E77" s="42"/>
      <c r="F77" s="42"/>
      <c r="G77" s="42"/>
      <c r="H77" s="42"/>
    </row>
    <row r="78" spans="3:8" x14ac:dyDescent="0.25">
      <c r="C78" s="42"/>
      <c r="D78" s="42"/>
      <c r="E78" s="42"/>
      <c r="F78" s="42"/>
      <c r="G78" s="42"/>
      <c r="H78" s="42"/>
    </row>
    <row r="79" spans="3:8" x14ac:dyDescent="0.25">
      <c r="C79" s="42"/>
      <c r="D79" s="42"/>
      <c r="E79" s="42"/>
      <c r="F79" s="42"/>
      <c r="G79" s="43"/>
      <c r="H79" s="43"/>
    </row>
    <row r="80" spans="3:8" x14ac:dyDescent="0.25">
      <c r="C80" s="42"/>
      <c r="D80" s="42"/>
      <c r="E80" s="42"/>
      <c r="F80" s="42"/>
      <c r="G80" s="42"/>
      <c r="H80" s="42"/>
    </row>
    <row r="81" spans="3:8" x14ac:dyDescent="0.25">
      <c r="C81" s="42"/>
      <c r="D81" s="42"/>
      <c r="E81" s="42"/>
      <c r="F81" s="42"/>
      <c r="G81" s="42"/>
      <c r="H81" s="42"/>
    </row>
    <row r="82" spans="3:8" x14ac:dyDescent="0.25">
      <c r="C82" s="42"/>
      <c r="D82" s="42"/>
      <c r="E82" s="42"/>
      <c r="F82" s="42"/>
      <c r="G82" s="42"/>
      <c r="H82" s="42"/>
    </row>
    <row r="83" spans="3:8" x14ac:dyDescent="0.25">
      <c r="C83" s="42"/>
      <c r="D83" s="42"/>
      <c r="E83" s="42"/>
      <c r="F83" s="42"/>
      <c r="G83" s="43"/>
      <c r="H83" s="43"/>
    </row>
    <row r="84" spans="3:8" x14ac:dyDescent="0.25">
      <c r="C84" s="42"/>
      <c r="D84" s="42"/>
      <c r="E84" s="42"/>
      <c r="F84" s="42"/>
      <c r="G84" s="43"/>
      <c r="H84" s="43"/>
    </row>
    <row r="85" spans="3:8" x14ac:dyDescent="0.25">
      <c r="C85" s="42"/>
      <c r="D85" s="42"/>
      <c r="E85" s="42"/>
      <c r="F85" s="42"/>
      <c r="G85" s="42"/>
      <c r="H85" s="42"/>
    </row>
    <row r="86" spans="3:8" x14ac:dyDescent="0.25">
      <c r="C86" s="42"/>
      <c r="D86" s="42"/>
      <c r="E86" s="42"/>
      <c r="F86" s="42"/>
      <c r="G86" s="42"/>
      <c r="H86" s="42"/>
    </row>
    <row r="87" spans="3:8" x14ac:dyDescent="0.25">
      <c r="C87" s="42"/>
      <c r="D87" s="42"/>
      <c r="E87" s="42"/>
      <c r="F87" s="42"/>
      <c r="G87" s="42"/>
      <c r="H87" s="42"/>
    </row>
    <row r="88" spans="3:8" x14ac:dyDescent="0.25">
      <c r="C88" s="42"/>
      <c r="D88" s="42"/>
      <c r="E88" s="42"/>
      <c r="F88" s="42"/>
      <c r="G88" s="42"/>
      <c r="H88" s="42"/>
    </row>
    <row r="89" spans="3:8" x14ac:dyDescent="0.25">
      <c r="C89" s="42"/>
      <c r="D89" s="42"/>
      <c r="E89" s="42"/>
      <c r="F89" s="42"/>
      <c r="G89" s="42"/>
      <c r="H89" s="42"/>
    </row>
    <row r="90" spans="3:8" x14ac:dyDescent="0.25">
      <c r="C90" s="42"/>
      <c r="D90" s="42"/>
      <c r="E90" s="42"/>
      <c r="F90" s="42"/>
      <c r="G90" s="43"/>
      <c r="H90" s="43"/>
    </row>
    <row r="91" spans="3:8" x14ac:dyDescent="0.25">
      <c r="C91" s="42"/>
      <c r="D91" s="42"/>
      <c r="E91" s="42"/>
      <c r="F91" s="42"/>
      <c r="G91" s="43"/>
      <c r="H91" s="43"/>
    </row>
    <row r="92" spans="3:8" x14ac:dyDescent="0.25">
      <c r="C92" s="42"/>
      <c r="D92" s="42"/>
      <c r="E92" s="42"/>
      <c r="F92" s="42"/>
      <c r="G92" s="42"/>
      <c r="H92" s="42"/>
    </row>
    <row r="93" spans="3:8" x14ac:dyDescent="0.25">
      <c r="C93" s="42"/>
      <c r="D93" s="42"/>
      <c r="E93" s="42"/>
      <c r="F93" s="42"/>
      <c r="G93" s="43"/>
      <c r="H93" s="43"/>
    </row>
    <row r="94" spans="3:8" x14ac:dyDescent="0.25">
      <c r="C94" s="42"/>
      <c r="D94" s="42"/>
      <c r="E94" s="42"/>
      <c r="F94" s="42"/>
      <c r="G94" s="43"/>
      <c r="H94" s="43"/>
    </row>
    <row r="95" spans="3:8" x14ac:dyDescent="0.25">
      <c r="C95" s="42"/>
      <c r="D95" s="42"/>
      <c r="E95" s="42"/>
      <c r="F95" s="42"/>
      <c r="G95" s="42"/>
      <c r="H95" s="42"/>
    </row>
    <row r="96" spans="3:8" x14ac:dyDescent="0.25">
      <c r="C96" s="42"/>
      <c r="D96" s="42"/>
      <c r="E96" s="42"/>
      <c r="F96" s="42"/>
      <c r="G96" s="42"/>
      <c r="H96" s="42"/>
    </row>
    <row r="97" spans="3:8" x14ac:dyDescent="0.25">
      <c r="C97" s="42"/>
      <c r="D97" s="42"/>
      <c r="E97" s="42"/>
      <c r="F97" s="42"/>
      <c r="G97" s="42"/>
      <c r="H97" s="42"/>
    </row>
    <row r="98" spans="3:8" x14ac:dyDescent="0.25">
      <c r="C98" s="42"/>
      <c r="D98" s="42"/>
      <c r="E98" s="42"/>
      <c r="F98" s="42"/>
      <c r="G98" s="42"/>
      <c r="H98" s="42"/>
    </row>
    <row r="99" spans="3:8" x14ac:dyDescent="0.25">
      <c r="C99" s="42"/>
      <c r="D99" s="42"/>
      <c r="E99" s="42"/>
      <c r="F99" s="42"/>
      <c r="G99" s="42"/>
      <c r="H99" s="42"/>
    </row>
    <row r="100" spans="3:8" x14ac:dyDescent="0.25">
      <c r="C100" s="42"/>
      <c r="D100" s="42"/>
      <c r="E100" s="42"/>
      <c r="F100" s="42"/>
      <c r="G100" s="42"/>
      <c r="H100" s="42"/>
    </row>
    <row r="101" spans="3:8" x14ac:dyDescent="0.25">
      <c r="C101" s="42"/>
      <c r="D101" s="42"/>
      <c r="E101" s="42"/>
      <c r="F101" s="42"/>
      <c r="G101" s="42"/>
      <c r="H101" s="42"/>
    </row>
    <row r="102" spans="3:8" x14ac:dyDescent="0.25">
      <c r="C102" s="42"/>
      <c r="D102" s="42"/>
      <c r="E102" s="42"/>
      <c r="F102" s="42"/>
      <c r="G102" s="43"/>
      <c r="H102" s="43"/>
    </row>
    <row r="103" spans="3:8" x14ac:dyDescent="0.25">
      <c r="C103" s="42"/>
      <c r="D103" s="42"/>
      <c r="E103" s="42"/>
      <c r="F103" s="42"/>
      <c r="G103" s="43"/>
      <c r="H103" s="43"/>
    </row>
    <row r="104" spans="3:8" x14ac:dyDescent="0.25">
      <c r="C104" s="42"/>
      <c r="D104" s="42"/>
      <c r="E104" s="42"/>
      <c r="F104" s="42"/>
      <c r="G104" s="43"/>
      <c r="H104" s="43"/>
    </row>
  </sheetData>
  <phoneticPr fontId="1" type="noConversion"/>
  <conditionalFormatting sqref="F29:F30 F41">
    <cfRule type="duplicateValues" dxfId="31" priority="16"/>
  </conditionalFormatting>
  <conditionalFormatting sqref="F44:F47">
    <cfRule type="duplicateValues" dxfId="30" priority="15"/>
  </conditionalFormatting>
  <conditionalFormatting sqref="F50:F52">
    <cfRule type="duplicateValues" dxfId="29" priority="14"/>
  </conditionalFormatting>
  <conditionalFormatting sqref="F55:F59">
    <cfRule type="duplicateValues" dxfId="28" priority="13"/>
  </conditionalFormatting>
  <conditionalFormatting sqref="F42:F43">
    <cfRule type="duplicateValues" dxfId="27" priority="12"/>
  </conditionalFormatting>
  <conditionalFormatting sqref="F48:F49">
    <cfRule type="duplicateValues" dxfId="26" priority="11"/>
  </conditionalFormatting>
  <conditionalFormatting sqref="F53:F54">
    <cfRule type="duplicateValues" dxfId="25" priority="10"/>
  </conditionalFormatting>
  <conditionalFormatting sqref="F60:F61">
    <cfRule type="duplicateValues" dxfId="24" priority="9"/>
  </conditionalFormatting>
  <conditionalFormatting sqref="F31:F38">
    <cfRule type="duplicateValues" dxfId="23" priority="8"/>
  </conditionalFormatting>
  <conditionalFormatting sqref="F31:F38">
    <cfRule type="duplicateValues" dxfId="22" priority="7"/>
  </conditionalFormatting>
  <conditionalFormatting sqref="F31:F38">
    <cfRule type="duplicateValues" dxfId="21" priority="6"/>
  </conditionalFormatting>
  <conditionalFormatting sqref="F31:F38">
    <cfRule type="duplicateValues" dxfId="20" priority="5"/>
  </conditionalFormatting>
  <conditionalFormatting sqref="F39">
    <cfRule type="duplicateValues" dxfId="19" priority="4"/>
  </conditionalFormatting>
  <conditionalFormatting sqref="F39">
    <cfRule type="duplicateValues" dxfId="18" priority="3"/>
  </conditionalFormatting>
  <conditionalFormatting sqref="F39">
    <cfRule type="duplicateValues" dxfId="17" priority="2"/>
  </conditionalFormatting>
  <conditionalFormatting sqref="F39">
    <cfRule type="duplicateValues" dxfId="16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Jody Suseno</dc:creator>
  <cp:lastModifiedBy>Jody Suseno</cp:lastModifiedBy>
  <dcterms:created xsi:type="dcterms:W3CDTF">2015-06-05T18:17:20Z</dcterms:created>
  <dcterms:modified xsi:type="dcterms:W3CDTF">2023-06-18T01:11:45Z</dcterms:modified>
</cp:coreProperties>
</file>